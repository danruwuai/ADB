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AB6798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15" yWindow="45" windowWidth="17490" windowHeight="10950" tabRatio="783" activeTab="1"/>
  </bookViews>
  <sheets>
    <sheet name="Cover" sheetId="43" r:id="rId1"/>
    <sheet name="Customer Worksheet" sheetId="44" r:id="rId2"/>
    <sheet name="DOF" sheetId="45" r:id="rId3"/>
  </sheets>
  <functionGroups builtInGroupCount="17"/>
  <externalReferences>
    <externalReference r:id="rId4"/>
  </externalReferences>
  <definedNames>
    <definedName name="_xlnm.Print_Area" localSheetId="0">Cover!$A$1:$A$20</definedName>
  </definedNames>
  <calcPr calcId="145621"/>
</workbook>
</file>

<file path=xl/calcChain.xml><?xml version="1.0" encoding="utf-8"?>
<calcChain xmlns="http://schemas.openxmlformats.org/spreadsheetml/2006/main">
  <c r="B34" i="45" l="1"/>
  <c r="B35" i="45" s="1"/>
  <c r="B36" i="45" s="1"/>
  <c r="B37" i="45" s="1"/>
  <c r="B38" i="45" s="1"/>
  <c r="B39" i="45" s="1"/>
  <c r="B40" i="45" s="1"/>
  <c r="B41" i="45" s="1"/>
  <c r="B42" i="45" s="1"/>
  <c r="B43" i="45" s="1"/>
  <c r="B44" i="45" s="1"/>
  <c r="B45" i="45" s="1"/>
  <c r="B46" i="45" s="1"/>
  <c r="B47" i="45" s="1"/>
  <c r="B48" i="45" s="1"/>
  <c r="B49" i="45" s="1"/>
  <c r="B50" i="45" s="1"/>
  <c r="B51" i="45" s="1"/>
  <c r="B52" i="45" s="1"/>
  <c r="B53" i="45" s="1"/>
  <c r="B54" i="45" s="1"/>
  <c r="B55" i="45" s="1"/>
  <c r="B56" i="45" s="1"/>
  <c r="B57" i="45" s="1"/>
  <c r="B58" i="45" s="1"/>
  <c r="B59" i="45" s="1"/>
  <c r="B60" i="45" s="1"/>
  <c r="B61" i="45" s="1"/>
  <c r="B62" i="45" s="1"/>
  <c r="B63" i="45" s="1"/>
  <c r="B64" i="45" s="1"/>
  <c r="B65" i="45" s="1"/>
  <c r="B66" i="45" s="1"/>
  <c r="B67" i="45" s="1"/>
  <c r="B68" i="45" s="1"/>
  <c r="B69" i="45" s="1"/>
  <c r="B70" i="45" s="1"/>
  <c r="B71" i="45" s="1"/>
  <c r="B72" i="45" s="1"/>
  <c r="B73" i="45" s="1"/>
  <c r="B74" i="45" s="1"/>
  <c r="B75" i="45" s="1"/>
  <c r="B76" i="45" s="1"/>
  <c r="B77" i="45" s="1"/>
  <c r="B33" i="45"/>
  <c r="F23" i="45"/>
  <c r="F5" i="45"/>
  <c r="F6" i="45" s="1"/>
  <c r="D48" i="44" s="1"/>
  <c r="D5" i="45"/>
  <c r="D4" i="45"/>
  <c r="D3" i="45"/>
  <c r="D30" i="44"/>
  <c r="D24" i="44"/>
  <c r="H3" i="45" s="1"/>
  <c r="D21" i="44"/>
  <c r="D8" i="44"/>
  <c r="C77" i="45" l="1"/>
  <c r="F77" i="45" s="1"/>
  <c r="D6" i="45"/>
  <c r="J3" i="45" s="1"/>
  <c r="C20" i="45"/>
  <c r="C22" i="45"/>
  <c r="C39" i="45"/>
  <c r="F39" i="45" s="1"/>
  <c r="C47" i="45"/>
  <c r="C55" i="45"/>
  <c r="C63" i="45"/>
  <c r="F63" i="45" s="1"/>
  <c r="C71" i="45"/>
  <c r="F71" i="45" s="1"/>
  <c r="D25" i="44"/>
  <c r="C23" i="45"/>
  <c r="C35" i="45"/>
  <c r="C45" i="45"/>
  <c r="C53" i="45"/>
  <c r="C61" i="45"/>
  <c r="F61" i="45" s="1"/>
  <c r="C69" i="45"/>
  <c r="F69" i="45" s="1"/>
  <c r="C36" i="45"/>
  <c r="F36" i="45" s="1"/>
  <c r="C31" i="45"/>
  <c r="C76" i="45"/>
  <c r="F76" i="45" s="1"/>
  <c r="C74" i="45"/>
  <c r="C72" i="45"/>
  <c r="C70" i="45"/>
  <c r="C68" i="45"/>
  <c r="F68" i="45" s="1"/>
  <c r="C66" i="45"/>
  <c r="C64" i="45"/>
  <c r="F64" i="45" s="1"/>
  <c r="C62" i="45"/>
  <c r="C60" i="45"/>
  <c r="F60" i="45" s="1"/>
  <c r="C58" i="45"/>
  <c r="C56" i="45"/>
  <c r="C54" i="45"/>
  <c r="C52" i="45"/>
  <c r="F52" i="45" s="1"/>
  <c r="C50" i="45"/>
  <c r="C48" i="45"/>
  <c r="F48" i="45" s="1"/>
  <c r="C46" i="45"/>
  <c r="C44" i="45"/>
  <c r="F44" i="45" s="1"/>
  <c r="C42" i="45"/>
  <c r="C40" i="45"/>
  <c r="C37" i="45"/>
  <c r="C33" i="45"/>
  <c r="F33" i="45" s="1"/>
  <c r="C30" i="45"/>
  <c r="C28" i="45"/>
  <c r="C26" i="45"/>
  <c r="C24" i="45"/>
  <c r="F24" i="45" s="1"/>
  <c r="C38" i="45"/>
  <c r="C34" i="45"/>
  <c r="C21" i="45"/>
  <c r="C25" i="45"/>
  <c r="F25" i="45" s="1"/>
  <c r="C29" i="45"/>
  <c r="C32" i="45"/>
  <c r="C43" i="45"/>
  <c r="C51" i="45"/>
  <c r="F51" i="45" s="1"/>
  <c r="C59" i="45"/>
  <c r="C67" i="45"/>
  <c r="C75" i="45"/>
  <c r="F79" i="45"/>
  <c r="F43" i="45"/>
  <c r="F54" i="45"/>
  <c r="C27" i="45"/>
  <c r="F27" i="45" s="1"/>
  <c r="C41" i="45"/>
  <c r="C49" i="45"/>
  <c r="F49" i="45" s="1"/>
  <c r="C57" i="45"/>
  <c r="C65" i="45"/>
  <c r="C73" i="45"/>
  <c r="F45" i="45" l="1"/>
  <c r="F55" i="45"/>
  <c r="F57" i="45"/>
  <c r="F37" i="45"/>
  <c r="F70" i="45"/>
  <c r="F75" i="45"/>
  <c r="F21" i="45"/>
  <c r="F26" i="45"/>
  <c r="F46" i="45"/>
  <c r="F62" i="45"/>
  <c r="F31" i="45"/>
  <c r="F53" i="45"/>
  <c r="F65" i="45"/>
  <c r="F78" i="45"/>
  <c r="F35" i="45"/>
  <c r="F47" i="45"/>
  <c r="F67" i="45"/>
  <c r="F59" i="45"/>
  <c r="F29" i="45"/>
  <c r="F38" i="45"/>
  <c r="F42" i="45"/>
  <c r="F50" i="45"/>
  <c r="F58" i="45"/>
  <c r="F66" i="45"/>
  <c r="F74" i="45"/>
  <c r="F30" i="45"/>
  <c r="F73" i="45"/>
  <c r="F41" i="45"/>
  <c r="F40" i="45"/>
  <c r="F56" i="45"/>
  <c r="F72" i="45"/>
  <c r="F32" i="45"/>
  <c r="F34" i="45"/>
  <c r="F28" i="45"/>
  <c r="D46" i="44"/>
  <c r="D27" i="44"/>
  <c r="H4" i="45"/>
  <c r="H5" i="45" s="1"/>
  <c r="F22" i="45"/>
  <c r="D76" i="45"/>
  <c r="D74" i="45"/>
  <c r="D72" i="45"/>
  <c r="D70" i="45"/>
  <c r="D68" i="45"/>
  <c r="D66" i="45"/>
  <c r="D64" i="45"/>
  <c r="D62" i="45"/>
  <c r="D60" i="45"/>
  <c r="D58" i="45"/>
  <c r="D56" i="45"/>
  <c r="D54" i="45"/>
  <c r="D52" i="45"/>
  <c r="D50" i="45"/>
  <c r="D48" i="45"/>
  <c r="D46" i="45"/>
  <c r="D44" i="45"/>
  <c r="D42" i="45"/>
  <c r="D40" i="45"/>
  <c r="E38" i="45"/>
  <c r="D37" i="45"/>
  <c r="E34" i="45"/>
  <c r="D33" i="45"/>
  <c r="D30" i="45"/>
  <c r="D28" i="45"/>
  <c r="E77" i="45"/>
  <c r="E75" i="45"/>
  <c r="E73" i="45"/>
  <c r="E71" i="45"/>
  <c r="E69" i="45"/>
  <c r="E67" i="45"/>
  <c r="E65" i="45"/>
  <c r="E63" i="45"/>
  <c r="E61" i="45"/>
  <c r="E59" i="45"/>
  <c r="E57" i="45"/>
  <c r="E55" i="45"/>
  <c r="E53" i="45"/>
  <c r="E51" i="45"/>
  <c r="E49" i="45"/>
  <c r="E47" i="45"/>
  <c r="E45" i="45"/>
  <c r="E43" i="45"/>
  <c r="E41" i="45"/>
  <c r="E39" i="45"/>
  <c r="D38" i="45"/>
  <c r="E35" i="45"/>
  <c r="D34" i="45"/>
  <c r="E32" i="45"/>
  <c r="E29" i="45"/>
  <c r="E27" i="45"/>
  <c r="E25" i="45"/>
  <c r="E23" i="45"/>
  <c r="D77" i="45"/>
  <c r="D75" i="45"/>
  <c r="D73" i="45"/>
  <c r="D71" i="45"/>
  <c r="D69" i="45"/>
  <c r="D67" i="45"/>
  <c r="D65" i="45"/>
  <c r="D63" i="45"/>
  <c r="D61" i="45"/>
  <c r="D59" i="45"/>
  <c r="D57" i="45"/>
  <c r="D55" i="45"/>
  <c r="D53" i="45"/>
  <c r="D51" i="45"/>
  <c r="D49" i="45"/>
  <c r="D47" i="45"/>
  <c r="D45" i="45"/>
  <c r="D43" i="45"/>
  <c r="D41" i="45"/>
  <c r="D39" i="45"/>
  <c r="E36" i="45"/>
  <c r="D35" i="45"/>
  <c r="E70" i="45"/>
  <c r="E62" i="45"/>
  <c r="E54" i="45"/>
  <c r="E46" i="45"/>
  <c r="D36" i="45"/>
  <c r="D32" i="45"/>
  <c r="D29" i="45"/>
  <c r="D26" i="45"/>
  <c r="D25" i="45"/>
  <c r="E24" i="45"/>
  <c r="D21" i="45"/>
  <c r="E72" i="45"/>
  <c r="E64" i="45"/>
  <c r="E56" i="45"/>
  <c r="E48" i="45"/>
  <c r="E40" i="45"/>
  <c r="E33" i="45"/>
  <c r="E30" i="45"/>
  <c r="D24" i="45"/>
  <c r="D23" i="45"/>
  <c r="E22" i="45"/>
  <c r="E20" i="45"/>
  <c r="E74" i="45"/>
  <c r="E66" i="45"/>
  <c r="E58" i="45"/>
  <c r="E50" i="45"/>
  <c r="E42" i="45"/>
  <c r="E37" i="45"/>
  <c r="E31" i="45"/>
  <c r="D22" i="45"/>
  <c r="D20" i="45"/>
  <c r="E76" i="45"/>
  <c r="E68" i="45"/>
  <c r="E60" i="45"/>
  <c r="E52" i="45"/>
  <c r="E44" i="45"/>
  <c r="D31" i="45"/>
  <c r="E28" i="45"/>
  <c r="D27" i="45"/>
  <c r="E26" i="45"/>
  <c r="E21" i="45"/>
  <c r="F20" i="45"/>
  <c r="J4" i="45"/>
  <c r="G36" i="45" l="1"/>
  <c r="G31" i="45"/>
  <c r="K23" i="45" s="1"/>
  <c r="D37" i="44" s="1"/>
  <c r="G78" i="45"/>
  <c r="K37" i="45" s="1"/>
  <c r="D43" i="44" s="1"/>
  <c r="D56" i="44" s="1"/>
  <c r="G76" i="45"/>
  <c r="G74" i="45"/>
  <c r="G72" i="45"/>
  <c r="G70" i="45"/>
  <c r="G68" i="45"/>
  <c r="G66" i="45"/>
  <c r="G64" i="45"/>
  <c r="G62" i="45"/>
  <c r="G60" i="45"/>
  <c r="G58" i="45"/>
  <c r="G56" i="45"/>
  <c r="G54" i="45"/>
  <c r="G52" i="45"/>
  <c r="G50" i="45"/>
  <c r="G48" i="45"/>
  <c r="G46" i="45"/>
  <c r="G44" i="45"/>
  <c r="G42" i="45"/>
  <c r="G40" i="45"/>
  <c r="G37" i="45"/>
  <c r="G33" i="45"/>
  <c r="K21" i="45" s="1"/>
  <c r="D39" i="44" s="1"/>
  <c r="G30" i="45"/>
  <c r="K24" i="45" s="1"/>
  <c r="D36" i="44" s="1"/>
  <c r="G28" i="45"/>
  <c r="G26" i="45"/>
  <c r="G24" i="45"/>
  <c r="G22" i="45"/>
  <c r="G38" i="45"/>
  <c r="G34" i="45"/>
  <c r="G79" i="45"/>
  <c r="G75" i="45"/>
  <c r="G67" i="45"/>
  <c r="G59" i="45"/>
  <c r="G51" i="45"/>
  <c r="G43" i="45"/>
  <c r="K19" i="45"/>
  <c r="D41" i="44" s="1"/>
  <c r="D55" i="44" s="1"/>
  <c r="G77" i="45"/>
  <c r="G69" i="45"/>
  <c r="G61" i="45"/>
  <c r="G53" i="45"/>
  <c r="G45" i="45"/>
  <c r="G35" i="45"/>
  <c r="G27" i="45"/>
  <c r="K26" i="45" s="1"/>
  <c r="D34" i="44" s="1"/>
  <c r="D52" i="44" s="1"/>
  <c r="G21" i="45"/>
  <c r="G71" i="45"/>
  <c r="G63" i="45"/>
  <c r="G55" i="45"/>
  <c r="G47" i="45"/>
  <c r="G39" i="45"/>
  <c r="G25" i="45"/>
  <c r="G73" i="45"/>
  <c r="G65" i="45"/>
  <c r="G57" i="45"/>
  <c r="G49" i="45"/>
  <c r="G41" i="45"/>
  <c r="K36" i="45"/>
  <c r="G32" i="45"/>
  <c r="G29" i="45"/>
  <c r="G23" i="45"/>
  <c r="G20" i="45"/>
  <c r="J5" i="45"/>
  <c r="J6" i="45" s="1"/>
  <c r="D47" i="44"/>
  <c r="K38" i="45" l="1"/>
  <c r="K25" i="45"/>
  <c r="D35" i="44" s="1"/>
  <c r="D57" i="44" s="1"/>
  <c r="K35" i="45"/>
  <c r="K20" i="45"/>
  <c r="D40" i="44" s="1"/>
  <c r="D54" i="44" s="1"/>
  <c r="D83" i="44"/>
  <c r="D82" i="44"/>
  <c r="D80" i="44"/>
  <c r="D81" i="44" s="1"/>
  <c r="D78" i="44"/>
  <c r="D77" i="44"/>
  <c r="D75" i="44"/>
  <c r="D76" i="44" s="1"/>
  <c r="D71" i="44"/>
  <c r="D70" i="44"/>
  <c r="D66" i="44"/>
  <c r="D63" i="44"/>
  <c r="D64" i="44" s="1"/>
  <c r="C82" i="44"/>
  <c r="C83" i="44" s="1"/>
  <c r="C80" i="44"/>
  <c r="C81" i="44" s="1"/>
  <c r="C77" i="44"/>
  <c r="C78" i="44" s="1"/>
  <c r="C75" i="44"/>
  <c r="C76" i="44" s="1"/>
  <c r="C70" i="44"/>
  <c r="C71" i="44" s="1"/>
  <c r="C68" i="44"/>
  <c r="C69" i="44" s="1"/>
  <c r="C65" i="44"/>
  <c r="C66" i="44" s="1"/>
  <c r="C63" i="44"/>
  <c r="C64" i="44" s="1"/>
  <c r="D26" i="44"/>
  <c r="D19" i="44"/>
  <c r="D65" i="44"/>
  <c r="F82" i="44"/>
  <c r="F83" i="44" s="1"/>
  <c r="F80" i="44"/>
  <c r="F81" i="44" s="1"/>
  <c r="F77" i="44"/>
  <c r="F78" i="44" s="1"/>
  <c r="F75" i="44"/>
  <c r="F76" i="44" s="1"/>
  <c r="F70" i="44"/>
  <c r="F71" i="44" s="1"/>
  <c r="F68" i="44"/>
  <c r="F69" i="44" s="1"/>
  <c r="F65" i="44"/>
  <c r="F66" i="44" s="1"/>
  <c r="F63" i="44"/>
  <c r="F64" i="44" s="1"/>
  <c r="E83" i="44"/>
  <c r="E82" i="44"/>
  <c r="E80" i="44"/>
  <c r="E81" i="44" s="1"/>
  <c r="E78" i="44"/>
  <c r="E77" i="44"/>
  <c r="E75" i="44"/>
  <c r="E76" i="44" s="1"/>
  <c r="E71" i="44"/>
  <c r="E70" i="44"/>
  <c r="E68" i="44"/>
  <c r="E69" i="44" s="1"/>
  <c r="E66" i="44"/>
  <c r="E65" i="44"/>
  <c r="E63" i="44"/>
  <c r="E64" i="44" s="1"/>
  <c r="D68" i="44"/>
  <c r="D69" i="44" s="1"/>
  <c r="K34" i="45"/>
  <c r="K22" i="45"/>
  <c r="D38" i="44" s="1"/>
  <c r="D53" i="44" s="1"/>
  <c r="K33" i="45"/>
  <c r="K27" i="45"/>
  <c r="D33" i="44" s="1"/>
  <c r="K28" i="45"/>
  <c r="D32" i="44" s="1"/>
  <c r="K29" i="45"/>
  <c r="D31" i="44" s="1"/>
</calcChain>
</file>

<file path=xl/sharedStrings.xml><?xml version="1.0" encoding="utf-8"?>
<sst xmlns="http://schemas.openxmlformats.org/spreadsheetml/2006/main" count="163" uniqueCount="123">
  <si>
    <t>Submit technical questions at:</t>
  </si>
  <si>
    <t>https://support.cdmatech.com</t>
  </si>
  <si>
    <t>Confidential and Proprietary – Qualcomm Technologies, Inc.</t>
  </si>
  <si>
    <t>Qualcomm reserves the right to make changes to the product(s) or information contained herein without notice. No liability is assumed for any damages arising directly or indirectly by their use or application. The information provided in this document is provided on an “as is” basis.</t>
  </si>
  <si>
    <t>Qualcomm is a trademark of QUALCOMM Incorporated, registered in the United States and other countries. All QUALCOMM Incorporated trademarks are used with permission. Other product and brand names may be trademarks or registered trademarks of their respective owners.</t>
  </si>
  <si>
    <t>This technical data may be subject to U.S. and international export, re-export, or transfer (“export”) laws. Diversion contrary to U.S. and international law is strictly prohibited.</t>
  </si>
  <si>
    <r>
      <t>Restricted Distribution</t>
    </r>
    <r>
      <rPr>
        <sz val="9"/>
        <rFont val="Times New Roman"/>
        <family val="1"/>
      </rPr>
      <t>: Not to be distributed to anyone who is not an employee of either Qualcomm or its subsidiaries without the express approval of Qualcomm’s Configuration Management.</t>
    </r>
  </si>
  <si>
    <t>Not to be used, copied, reproduced, or modified in whole or in part, nor its contents revealed in any manner to others without the express written permission of Qualcomm Technologies, Inc.</t>
  </si>
  <si>
    <t>This document contains confidential and proprietary information and must be shredded when discarded.</t>
  </si>
  <si>
    <r>
      <t xml:space="preserve">NO PUBLIC DISCLOSURE PERMITTED: </t>
    </r>
    <r>
      <rPr>
        <sz val="9"/>
        <rFont val="Times New Roman"/>
        <family val="1"/>
      </rPr>
      <t xml:space="preserve">Please report postings of this document on public servers or websites to: DocCtrlAgent@qualcomm.com. </t>
    </r>
  </si>
  <si>
    <t>Qualcomm Technologies, Inc.
5775 Morehouse Drive
San Diego, CA 92121
U.S.A.
© 2014 Qualcomm Technologies, Inc.
All rights reserved.</t>
  </si>
  <si>
    <t>Program Name</t>
  </si>
  <si>
    <t>Qualcomm Notes</t>
  </si>
  <si>
    <t>Camera 
Module 
Optics</t>
  </si>
  <si>
    <t>EFL [mm]</t>
  </si>
  <si>
    <t>The optical parameters of camera modules is required by auto focus solution optimize focus search step sizes with respect to the calculated camera depth of focus</t>
  </si>
  <si>
    <t>F#</t>
  </si>
  <si>
    <r>
      <t>Pixel [</t>
    </r>
    <r>
      <rPr>
        <b/>
        <sz val="11.5"/>
        <rFont val="Calibri"/>
        <family val="2"/>
      </rPr>
      <t>µm]</t>
    </r>
  </si>
  <si>
    <t>Hyperfocal [cm]</t>
  </si>
  <si>
    <t>Actuator Sensitivity</t>
  </si>
  <si>
    <t>In order to move the lens by the intended physical distances the lens movement per DAC code must be precisely known. This value can be estimated from the sample modules sento Qcom yet the distribution of module-to-module variation is not known. The distribution must be  known to determine whether this value need to be calculated for each module based on the stored AF calibration data, if available.</t>
  </si>
  <si>
    <t xml:space="preserve"> Actuator Movement Range</t>
  </si>
  <si>
    <t>MIN</t>
  </si>
  <si>
    <t>TYP</t>
  </si>
  <si>
    <t>MAX</t>
  </si>
  <si>
    <t>Size of Samples Tested</t>
  </si>
  <si>
    <t>Location of mechanical stop is needed in order to prevent lens movement against mechanical stop which often produces an audible "tick" sound. This can cause auto focus to become unstable over a large number of iterations since the absolute position of lens is unknown in open-loop actuators.</t>
  </si>
  <si>
    <t>Actuator DAC at
10 cm Focus [DAC]</t>
  </si>
  <si>
    <t>Actuator DAC value at 10cm and at hyperfocal distance are required in order to calculate the suitable mapping between a given target distance (e.g. 25cm) and the corresponding DAC value.</t>
  </si>
  <si>
    <t>Actuator DAC at
Hyperfocal Focus [DAC]</t>
  </si>
  <si>
    <t>XXX</t>
  </si>
  <si>
    <t>DAMP1</t>
  </si>
  <si>
    <t>Actuator Damping</t>
  </si>
  <si>
    <r>
      <t>Register command setting that can achieve moving</t>
    </r>
    <r>
      <rPr>
        <b/>
        <sz val="11.5"/>
        <color rgb="FFC00000"/>
        <rFont val="宋体"/>
        <family val="2"/>
        <scheme val="minor"/>
      </rPr>
      <t xml:space="preserve"> XXX DAC</t>
    </r>
    <r>
      <rPr>
        <b/>
        <sz val="11.5"/>
        <rFont val="宋体"/>
        <family val="2"/>
        <scheme val="minor"/>
      </rPr>
      <t xml:space="preserve"> within </t>
    </r>
    <r>
      <rPr>
        <b/>
        <sz val="11.5"/>
        <color rgb="FFC00000"/>
        <rFont val="宋体"/>
        <family val="2"/>
        <scheme val="minor"/>
      </rPr>
      <t>10 ms</t>
    </r>
    <r>
      <rPr>
        <b/>
        <sz val="11.5"/>
        <rFont val="宋体"/>
        <family val="2"/>
        <scheme val="minor"/>
      </rPr>
      <t>, and</t>
    </r>
    <r>
      <rPr>
        <b/>
        <sz val="11.5"/>
        <color rgb="FFC00000"/>
        <rFont val="宋体"/>
        <family val="2"/>
        <scheme val="minor"/>
      </rPr>
      <t xml:space="preserve"> peak-to-peak ringing to less than 3-</t>
    </r>
    <r>
      <rPr>
        <b/>
        <sz val="11.5"/>
        <color rgb="FFC00000"/>
        <rFont val="Calibri"/>
        <family val="2"/>
      </rPr>
      <t xml:space="preserve">µm
</t>
    </r>
  </si>
  <si>
    <t>Damping settings:
{reg Addr, value}
{0xEC, 0xA3},
Delay Settings:
 delay = 8 ms</t>
  </si>
  <si>
    <r>
      <t>For Qualcomm auto-focus operation, it is important to configure the actuator to travel XXX DAC</t>
    </r>
    <r>
      <rPr>
        <sz val="11"/>
        <color theme="1"/>
        <rFont val="Calibri"/>
        <family val="2"/>
      </rPr>
      <t xml:space="preserve"> in 10ms and have the subsequent ringing limited to 3-µm peak-to-peak. 
</t>
    </r>
    <r>
      <rPr>
        <b/>
        <sz val="11"/>
        <color rgb="FF0070C0"/>
        <rFont val="Calibri"/>
        <family val="2"/>
      </rPr>
      <t>When in doubt please propose two best damping configurations that best meet our needs. If the criteria can not be met, then provide the settings that can achieve the fastest settling time for ringing limited to 3-um peak-to-peak</t>
    </r>
  </si>
  <si>
    <t>YYY</t>
  </si>
  <si>
    <t xml:space="preserve">DAMP2  </t>
  </si>
  <si>
    <r>
      <t>Register command setting that can achieve moving YYY</t>
    </r>
    <r>
      <rPr>
        <b/>
        <sz val="11.5"/>
        <color rgb="FFC00000"/>
        <rFont val="宋体"/>
        <family val="2"/>
        <scheme val="minor"/>
      </rPr>
      <t>-DAC</t>
    </r>
    <r>
      <rPr>
        <b/>
        <sz val="11.5"/>
        <rFont val="宋体"/>
        <family val="2"/>
        <scheme val="minor"/>
      </rPr>
      <t xml:space="preserve"> within </t>
    </r>
    <r>
      <rPr>
        <b/>
        <sz val="11.5"/>
        <color rgb="FFC00000"/>
        <rFont val="宋体"/>
        <family val="2"/>
        <scheme val="minor"/>
      </rPr>
      <t>20 ms</t>
    </r>
    <r>
      <rPr>
        <b/>
        <sz val="11.5"/>
        <rFont val="宋体"/>
        <family val="2"/>
        <scheme val="minor"/>
      </rPr>
      <t xml:space="preserve">, and </t>
    </r>
    <r>
      <rPr>
        <b/>
        <sz val="11.5"/>
        <color rgb="FFC00000"/>
        <rFont val="宋体"/>
        <family val="2"/>
        <scheme val="minor"/>
      </rPr>
      <t>peak-to-peak ringing to less than 8-µm</t>
    </r>
  </si>
  <si>
    <t>Damping settings:
{reg Addr, value}
{0xEC, 0xB8},
Delay Settings:
delay = 12 ms</t>
  </si>
  <si>
    <r>
      <t>This damping configuration is to optimize lens movement during lens flyback and reset operations where the lens occassionally travels a relatively large distance (e.g. &gt;40</t>
    </r>
    <r>
      <rPr>
        <sz val="11"/>
        <color theme="1"/>
        <rFont val="Calibri"/>
        <family val="2"/>
      </rPr>
      <t>µm). This lens movement is often followed by a frame skip to ensure that lens arrives at the destination and settles. If this condition cannot be met, Qualcomm AF needs to revise AF tuning such that a sufficient number of frame skip is used after each lens reset and flyback operations.</t>
    </r>
  </si>
  <si>
    <t>Notes:</t>
  </si>
  <si>
    <t>Please attach plots from the laser characterization in Customer Plots and Specify Plot #</t>
  </si>
  <si>
    <t>Initial Code</t>
  </si>
  <si>
    <t>Step Bound</t>
  </si>
  <si>
    <t>scenario 1</t>
  </si>
  <si>
    <t>scenario 2</t>
  </si>
  <si>
    <t>Estimated EFL (mm)</t>
  </si>
  <si>
    <t>SINGLE_NEAR_LIMIT_IDX</t>
  </si>
  <si>
    <t>SINGLE_7CM_IDX</t>
  </si>
  <si>
    <t>SINGLE_10CM_IDX</t>
  </si>
  <si>
    <t>SINGLE_14CM_IDX</t>
  </si>
  <si>
    <t>SINGLE_20CM_IDX</t>
  </si>
  <si>
    <t>SINGLE_30CM_IDX</t>
  </si>
  <si>
    <t>SINGLE_40CM_IDX</t>
  </si>
  <si>
    <t>SINGLE_50CM_IDX</t>
  </si>
  <si>
    <t>SINGLE_60CM_IDX</t>
  </si>
  <si>
    <t>SINGLE_120CM_IDX</t>
  </si>
  <si>
    <t>SINGLE_INF_LIMIT_IDX</t>
  </si>
  <si>
    <t>position_normal_hyperfocal</t>
  </si>
  <si>
    <t>target distance</t>
  </si>
  <si>
    <t>finescan stepsize</t>
  </si>
  <si>
    <t>step_index_per_um</t>
  </si>
  <si>
    <t>position_near_end</t>
  </si>
  <si>
    <t>position_default_in_macro</t>
  </si>
  <si>
    <t>position_boundary</t>
  </si>
  <si>
    <t>position_default_in_normal</t>
  </si>
  <si>
    <t>position_far_end</t>
  </si>
  <si>
    <t>position_macro_rgn</t>
  </si>
  <si>
    <t>Camera Mode</t>
  </si>
  <si>
    <t>TAF_step_table</t>
  </si>
  <si>
    <t>{</t>
  </si>
  <si>
    <r>
      <t xml:space="preserve">}, /* {10, </t>
    </r>
    <r>
      <rPr>
        <sz val="10"/>
        <color rgb="FFFF0000"/>
        <rFont val="Arial"/>
        <family val="2"/>
      </rPr>
      <t>x, x, x, x</t>
    </r>
    <r>
      <rPr>
        <sz val="10"/>
        <rFont val="Arial"/>
        <charset val="186"/>
      </rPr>
      <t>,}, Variable name: Prescan_normal_light (step_size_t) */</t>
    </r>
  </si>
  <si>
    <r>
      <t xml:space="preserve">}, /* {10, </t>
    </r>
    <r>
      <rPr>
        <sz val="10"/>
        <color rgb="FFFF0000"/>
        <rFont val="Arial"/>
        <family val="2"/>
      </rPr>
      <t>x, x, x, y</t>
    </r>
    <r>
      <rPr>
        <sz val="10"/>
        <rFont val="Arial"/>
        <charset val="186"/>
      </rPr>
      <t>,}  Variable name: Prescan_low_light (step_size_t) */</t>
    </r>
  </si>
  <si>
    <r>
      <t>}, /* {  8,</t>
    </r>
    <r>
      <rPr>
        <sz val="10"/>
        <color rgb="FFFF0000"/>
        <rFont val="Arial"/>
        <family val="2"/>
      </rPr>
      <t xml:space="preserve"> z, z, z, z</t>
    </r>
    <r>
      <rPr>
        <sz val="10"/>
        <rFont val="Arial"/>
        <charset val="186"/>
      </rPr>
      <t>,}, Variable name: Finescan_normal_light (step_size_t) */</t>
    </r>
  </si>
  <si>
    <r>
      <t xml:space="preserve">}, /* {  8, </t>
    </r>
    <r>
      <rPr>
        <sz val="10"/>
        <color rgb="FFFF0000"/>
        <rFont val="Arial"/>
        <family val="2"/>
      </rPr>
      <t>z, z, z, m</t>
    </r>
    <r>
      <rPr>
        <sz val="10"/>
        <rFont val="Arial"/>
        <charset val="186"/>
      </rPr>
      <t>}, Variable name: Prescan_low_light (step_size_t) */</t>
    </r>
  </si>
  <si>
    <t>CAF_step_table</t>
  </si>
  <si>
    <t>Video Mode</t>
  </si>
  <si>
    <t>AF Optics
Features</t>
  </si>
  <si>
    <t>Driver IC</t>
  </si>
  <si>
    <t>EFL</t>
  </si>
  <si>
    <t>Resolution</t>
  </si>
  <si>
    <t>10bit</t>
  </si>
  <si>
    <t>initial code</t>
  </si>
  <si>
    <t>step_move_est</t>
  </si>
  <si>
    <t>range</t>
  </si>
  <si>
    <t>0~1023</t>
  </si>
  <si>
    <t>step_bound</t>
  </si>
  <si>
    <t>initial finescan stepsize (normal)</t>
  </si>
  <si>
    <t>Pixel</t>
  </si>
  <si>
    <t>um/DAC</t>
  </si>
  <si>
    <t>initial prescan stepsize (normal)</t>
  </si>
  <si>
    <t>Hyper focal (cm)</t>
  </si>
  <si>
    <t>facedown lens position</t>
  </si>
  <si>
    <t>initial prescan stepsize (lowlight)</t>
  </si>
  <si>
    <t>** Lens shift = (EFL×EFL)/(Object Distance - EFL)</t>
  </si>
  <si>
    <t>Object Distance</t>
  </si>
  <si>
    <t>lens Shift</t>
  </si>
  <si>
    <t>Depth of Field</t>
  </si>
  <si>
    <t>Dac Code</t>
  </si>
  <si>
    <t>LensPos (1 DAC/Step)</t>
  </si>
  <si>
    <t>[cm]</t>
  </si>
  <si>
    <t>[um]</t>
  </si>
  <si>
    <t>Near Field</t>
  </si>
  <si>
    <t>Far Field</t>
  </si>
  <si>
    <t xml:space="preserve">infinity_index </t>
  </si>
  <si>
    <t xml:space="preserve">120cm_index </t>
  </si>
  <si>
    <t xml:space="preserve">60cm_index  </t>
  </si>
  <si>
    <t xml:space="preserve">50cm_index  </t>
  </si>
  <si>
    <t xml:space="preserve">40cm_index </t>
  </si>
  <si>
    <t>30cm_index</t>
  </si>
  <si>
    <t>20cm_index</t>
  </si>
  <si>
    <t>14cm_index</t>
  </si>
  <si>
    <t>10cm_index</t>
  </si>
  <si>
    <t>7cm_index</t>
  </si>
  <si>
    <t>Near_Limit_index</t>
  </si>
  <si>
    <t>∞</t>
  </si>
  <si>
    <t>EFL Shift</t>
  </si>
  <si>
    <t>80-NN841-1 A</t>
  </si>
  <si>
    <t>AF Actuator Tuning Guide Worksheet</t>
  </si>
  <si>
    <t xml:space="preserve"> Mechanical Stop 
Far Focus [DAC]在VCM表中找到启动电流向下的值a，a*1024/120</t>
    <phoneticPr fontId="37" type="noConversion"/>
  </si>
  <si>
    <t>Lens Movement Per DAC code [µm/DAC]3姿势测试VCM表中得到sensitivity</t>
    <phoneticPr fontId="37" type="noConversion"/>
  </si>
  <si>
    <t>Mechanical Stop 
Near Focus [DAC]在VCM表中找到7cm向上时的DAC code</t>
    <phoneticPr fontId="37"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</si>
</sst>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409]mmmm\ d\,\ yyyy;@"/>
    <numFmt numFmtId="177" formatCode="_-* #,##0_-;\-* #,##0_-;_-* &quot;-&quot;_-;_-@_-"/>
    <numFmt numFmtId="178" formatCode="_-* #,##0.00_-;\-* #,##0.00_-;_-* &quot;-&quot;??_-;_-@_-"/>
    <numFmt numFmtId="179" formatCode="_-&quot;F&quot;* #,##0_-;\-&quot;F&quot;* #,##0_-;_-&quot;F&quot;* &quot;-&quot;_-;_-@_-"/>
    <numFmt numFmtId="180" formatCode="_-&quot;F&quot;* #,##0.00_-;\-&quot;F&quot;* #,##0.00_-;_-&quot;F&quot;* &quot;-&quot;??_-;_-@_-"/>
  </numFmts>
  <fonts count="38" x14ac:knownFonts="1">
    <font>
      <sz val="10"/>
      <name val="Arial"/>
      <charset val="186"/>
    </font>
    <font>
      <sz val="11"/>
      <color theme="1"/>
      <name val="宋体"/>
      <family val="2"/>
      <scheme val="minor"/>
    </font>
    <font>
      <sz val="10"/>
      <name val="Arial"/>
      <family val="2"/>
    </font>
    <font>
      <u/>
      <sz val="10"/>
      <color indexed="12"/>
      <name val="Arial"/>
      <family val="2"/>
    </font>
    <font>
      <b/>
      <sz val="10"/>
      <name val="Arial"/>
      <family val="2"/>
    </font>
    <font>
      <b/>
      <sz val="12"/>
      <name val="Arial"/>
      <family val="2"/>
    </font>
    <font>
      <b/>
      <i/>
      <sz val="24"/>
      <name val="Arial"/>
      <family val="2"/>
    </font>
    <font>
      <sz val="12"/>
      <name val="Times New Roman"/>
      <family val="1"/>
    </font>
    <font>
      <b/>
      <i/>
      <sz val="12"/>
      <name val="Arial"/>
      <family val="2"/>
    </font>
    <font>
      <sz val="9"/>
      <name val="Times New Roman"/>
      <family val="1"/>
    </font>
    <font>
      <b/>
      <u/>
      <sz val="12"/>
      <color indexed="12"/>
      <name val="Arial"/>
      <family val="2"/>
    </font>
    <font>
      <b/>
      <sz val="11"/>
      <name val="Arial"/>
      <family val="2"/>
    </font>
    <font>
      <b/>
      <sz val="9"/>
      <name val="Times New Roman"/>
      <family val="1"/>
    </font>
    <font>
      <b/>
      <i/>
      <sz val="17"/>
      <name val="Arial"/>
      <family val="2"/>
    </font>
    <font>
      <b/>
      <sz val="14"/>
      <name val="Arial"/>
      <family val="2"/>
    </font>
    <font>
      <b/>
      <i/>
      <sz val="22"/>
      <name val="Arial"/>
      <family val="2"/>
    </font>
    <font>
      <sz val="11"/>
      <color rgb="FFFF0000"/>
      <name val="宋体"/>
      <family val="2"/>
      <scheme val="minor"/>
    </font>
    <font>
      <b/>
      <sz val="11"/>
      <color theme="1"/>
      <name val="宋体"/>
      <family val="2"/>
      <scheme val="minor"/>
    </font>
    <font>
      <sz val="10"/>
      <color theme="1"/>
      <name val="Arial"/>
      <family val="2"/>
    </font>
    <font>
      <b/>
      <sz val="11"/>
      <color theme="1"/>
      <name val="Arial"/>
      <family val="2"/>
    </font>
    <font>
      <b/>
      <sz val="16"/>
      <color theme="3"/>
      <name val="Arial"/>
      <family val="2"/>
    </font>
    <font>
      <b/>
      <sz val="12"/>
      <color theme="1"/>
      <name val="Arial"/>
      <family val="2"/>
    </font>
    <font>
      <b/>
      <sz val="11.5"/>
      <name val="宋体"/>
      <family val="2"/>
      <scheme val="minor"/>
    </font>
    <font>
      <b/>
      <sz val="11.5"/>
      <name val="Calibri"/>
      <family val="2"/>
    </font>
    <font>
      <b/>
      <i/>
      <sz val="10"/>
      <color theme="1"/>
      <name val="Arial"/>
      <family val="2"/>
    </font>
    <font>
      <b/>
      <sz val="10"/>
      <color theme="4"/>
      <name val="Arial"/>
      <family val="2"/>
    </font>
    <font>
      <sz val="11.5"/>
      <name val="宋体"/>
      <family val="2"/>
      <scheme val="minor"/>
    </font>
    <font>
      <b/>
      <sz val="11.5"/>
      <color rgb="FFC00000"/>
      <name val="宋体"/>
      <family val="2"/>
      <scheme val="minor"/>
    </font>
    <font>
      <b/>
      <sz val="11.5"/>
      <color rgb="FFC00000"/>
      <name val="Calibri"/>
      <family val="2"/>
    </font>
    <font>
      <sz val="11"/>
      <color theme="1"/>
      <name val="Calibri"/>
      <family val="2"/>
    </font>
    <font>
      <b/>
      <sz val="11"/>
      <color rgb="FF0070C0"/>
      <name val="Calibri"/>
      <family val="2"/>
    </font>
    <font>
      <sz val="11"/>
      <name val="宋体"/>
      <family val="2"/>
      <scheme val="minor"/>
    </font>
    <font>
      <sz val="10"/>
      <color rgb="FFFF0000"/>
      <name val="Arial"/>
      <family val="2"/>
    </font>
    <font>
      <sz val="10"/>
      <color rgb="FF00B050"/>
      <name val="Arial"/>
      <family val="2"/>
    </font>
    <font>
      <b/>
      <sz val="11"/>
      <color rgb="FFFF0000"/>
      <name val="宋体"/>
      <family val="2"/>
      <scheme val="minor"/>
    </font>
    <font>
      <sz val="11"/>
      <color rgb="FF002060"/>
      <name val="宋体"/>
      <family val="2"/>
      <scheme val="minor"/>
    </font>
    <font>
      <sz val="20"/>
      <color rgb="FF333333"/>
      <name val="Arial"/>
      <family val="2"/>
    </font>
    <font>
      <sz val="9"/>
      <name val="宋体"/>
      <family val="3"/>
      <charset val="134"/>
    </font>
  </fonts>
  <fills count="9">
    <fill>
      <patternFill patternType="none"/>
    </fill>
    <fill>
      <patternFill patternType="gray125"/>
    </fill>
    <fill>
      <patternFill patternType="solid">
        <fgColor rgb="FFECECEC"/>
        <bgColor indexed="64"/>
      </patternFill>
    </fill>
    <fill>
      <patternFill patternType="solid">
        <fgColor rgb="FFE5DEF2"/>
        <bgColor indexed="64"/>
      </patternFill>
    </fill>
    <fill>
      <patternFill patternType="solid">
        <fgColor rgb="FFFFFF00"/>
        <bgColor indexed="64"/>
      </patternFill>
    </fill>
    <fill>
      <patternFill patternType="solid">
        <fgColor theme="3" tint="0.39997558519241921"/>
        <bgColor indexed="64"/>
      </patternFill>
    </fill>
    <fill>
      <patternFill patternType="solid">
        <fgColor rgb="FF0070C0"/>
        <bgColor indexed="64"/>
      </patternFill>
    </fill>
    <fill>
      <patternFill patternType="solid">
        <fgColor rgb="FF00B050"/>
        <bgColor indexed="64"/>
      </patternFill>
    </fill>
    <fill>
      <patternFill patternType="solid">
        <fgColor rgb="FF00B0F0"/>
        <bgColor indexed="64"/>
      </patternFill>
    </fill>
  </fills>
  <borders count="74">
    <border>
      <left/>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auto="1"/>
      </left>
      <right style="medium">
        <color auto="1"/>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auto="1"/>
      </left>
      <right style="medium">
        <color auto="1"/>
      </right>
      <top style="medium">
        <color indexed="64"/>
      </top>
      <bottom style="thin">
        <color indexed="64"/>
      </bottom>
      <diagonal/>
    </border>
    <border>
      <left style="medium">
        <color auto="1"/>
      </left>
      <right/>
      <top style="medium">
        <color indexed="64"/>
      </top>
      <bottom style="thin">
        <color indexed="64"/>
      </bottom>
      <diagonal/>
    </border>
    <border>
      <left/>
      <right style="medium">
        <color auto="1"/>
      </right>
      <top style="medium">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auto="1"/>
      </left>
      <right style="hair">
        <color auto="1"/>
      </right>
      <top style="medium">
        <color auto="1"/>
      </top>
      <bottom style="hair">
        <color auto="1"/>
      </bottom>
      <diagonal/>
    </border>
    <border>
      <left style="hair">
        <color auto="1"/>
      </left>
      <right style="thin">
        <color auto="1"/>
      </right>
      <top style="medium">
        <color auto="1"/>
      </top>
      <bottom style="hair">
        <color auto="1"/>
      </bottom>
      <diagonal/>
    </border>
    <border>
      <left style="thin">
        <color auto="1"/>
      </left>
      <right/>
      <top style="medium">
        <color auto="1"/>
      </top>
      <bottom style="hair">
        <color auto="1"/>
      </bottom>
      <diagonal/>
    </border>
    <border>
      <left/>
      <right style="medium">
        <color auto="1"/>
      </right>
      <top style="medium">
        <color auto="1"/>
      </top>
      <bottom style="hair">
        <color auto="1"/>
      </bottom>
      <diagonal/>
    </border>
    <border>
      <left style="medium">
        <color auto="1"/>
      </left>
      <right style="thin">
        <color auto="1"/>
      </right>
      <top style="medium">
        <color auto="1"/>
      </top>
      <bottom/>
      <diagonal/>
    </border>
    <border>
      <left style="medium">
        <color auto="1"/>
      </left>
      <right style="hair">
        <color auto="1"/>
      </right>
      <top style="hair">
        <color auto="1"/>
      </top>
      <bottom style="medium">
        <color auto="1"/>
      </bottom>
      <diagonal/>
    </border>
    <border>
      <left style="hair">
        <color auto="1"/>
      </left>
      <right style="thin">
        <color auto="1"/>
      </right>
      <top style="hair">
        <color auto="1"/>
      </top>
      <bottom style="medium">
        <color auto="1"/>
      </bottom>
      <diagonal/>
    </border>
    <border>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thin">
        <color auto="1"/>
      </right>
      <top/>
      <bottom style="medium">
        <color auto="1"/>
      </bottom>
      <diagonal/>
    </border>
    <border>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thin">
        <color auto="1"/>
      </left>
      <right style="thin">
        <color auto="1"/>
      </right>
      <top/>
      <bottom style="hair">
        <color auto="1"/>
      </bottom>
      <diagonal/>
    </border>
    <border>
      <left style="medium">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diagonal/>
    </border>
    <border>
      <left style="hair">
        <color auto="1"/>
      </left>
      <right style="thin">
        <color auto="1"/>
      </right>
      <top style="hair">
        <color auto="1"/>
      </top>
      <bottom/>
      <diagonal/>
    </border>
    <border>
      <left/>
      <right style="hair">
        <color auto="1"/>
      </right>
      <top style="hair">
        <color auto="1"/>
      </top>
      <bottom/>
      <diagonal/>
    </border>
    <border>
      <left style="hair">
        <color auto="1"/>
      </left>
      <right style="medium">
        <color auto="1"/>
      </right>
      <top style="hair">
        <color auto="1"/>
      </top>
      <bottom/>
      <diagonal/>
    </border>
    <border>
      <left style="hair">
        <color auto="1"/>
      </left>
      <right style="thin">
        <color auto="1"/>
      </right>
      <top/>
      <bottom/>
      <diagonal/>
    </border>
    <border>
      <left style="hair">
        <color auto="1"/>
      </left>
      <right style="thin">
        <color auto="1"/>
      </right>
      <top/>
      <bottom style="hair">
        <color auto="1"/>
      </bottom>
      <diagonal/>
    </border>
    <border>
      <left style="medium">
        <color auto="1"/>
      </left>
      <right style="hair">
        <color auto="1"/>
      </right>
      <top/>
      <bottom style="hair">
        <color auto="1"/>
      </bottom>
      <diagonal/>
    </border>
    <border>
      <left/>
      <right style="hair">
        <color auto="1"/>
      </right>
      <top/>
      <bottom style="hair">
        <color auto="1"/>
      </bottom>
      <diagonal/>
    </border>
    <border>
      <left style="hair">
        <color auto="1"/>
      </left>
      <right style="medium">
        <color auto="1"/>
      </right>
      <top/>
      <bottom style="hair">
        <color auto="1"/>
      </bottom>
      <diagonal/>
    </border>
    <border>
      <left style="thin">
        <color auto="1"/>
      </left>
      <right style="hair">
        <color auto="1"/>
      </right>
      <top style="hair">
        <color auto="1"/>
      </top>
      <bottom style="hair">
        <color auto="1"/>
      </bottom>
      <diagonal/>
    </border>
    <border>
      <left style="medium">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style="hair">
        <color auto="1"/>
      </right>
      <top style="hair">
        <color auto="1"/>
      </top>
      <bottom style="thin">
        <color auto="1"/>
      </bottom>
      <diagonal/>
    </border>
    <border>
      <left style="hair">
        <color auto="1"/>
      </left>
      <right style="medium">
        <color auto="1"/>
      </right>
      <top style="hair">
        <color auto="1"/>
      </top>
      <bottom style="thin">
        <color auto="1"/>
      </bottom>
      <diagonal/>
    </border>
    <border>
      <left style="medium">
        <color auto="1"/>
      </left>
      <right style="hair">
        <color auto="1"/>
      </right>
      <top/>
      <bottom style="medium">
        <color auto="1"/>
      </bottom>
      <diagonal/>
    </border>
    <border>
      <left style="hair">
        <color auto="1"/>
      </left>
      <right style="thin">
        <color auto="1"/>
      </right>
      <top/>
      <bottom style="medium">
        <color auto="1"/>
      </bottom>
      <diagonal/>
    </border>
    <border>
      <left style="thin">
        <color auto="1"/>
      </left>
      <right style="hair">
        <color auto="1"/>
      </right>
      <top/>
      <bottom style="medium">
        <color auto="1"/>
      </bottom>
      <diagonal/>
    </border>
    <border>
      <left style="hair">
        <color auto="1"/>
      </left>
      <right style="medium">
        <color auto="1"/>
      </right>
      <top/>
      <bottom style="medium">
        <color auto="1"/>
      </bottom>
      <diagonal/>
    </border>
  </borders>
  <cellStyleXfs count="10">
    <xf numFmtId="176" fontId="0" fillId="0" borderId="0" applyBorder="0"/>
    <xf numFmtId="176" fontId="3" fillId="0" borderId="0" applyNumberFormat="0" applyFill="0" applyBorder="0" applyAlignment="0" applyProtection="0">
      <alignment vertical="top"/>
      <protection locked="0"/>
    </xf>
    <xf numFmtId="176" fontId="7" fillId="0" borderId="0" applyBorder="0"/>
    <xf numFmtId="176" fontId="2" fillId="0" borderId="0"/>
    <xf numFmtId="177" fontId="2" fillId="0" borderId="0" applyFont="0" applyFill="0" applyBorder="0" applyAlignment="0" applyProtection="0"/>
    <xf numFmtId="178" fontId="2" fillId="0" borderId="0" applyFont="0" applyFill="0" applyBorder="0" applyAlignment="0" applyProtection="0"/>
    <xf numFmtId="179" fontId="2" fillId="0" borderId="0" applyFont="0" applyFill="0" applyBorder="0" applyAlignment="0" applyProtection="0"/>
    <xf numFmtId="180" fontId="2" fillId="0" borderId="0" applyFont="0" applyFill="0" applyBorder="0" applyAlignment="0" applyProtection="0"/>
    <xf numFmtId="176" fontId="2" fillId="0" borderId="0" applyBorder="0"/>
    <xf numFmtId="0" fontId="18" fillId="0" borderId="0"/>
  </cellStyleXfs>
  <cellXfs count="194">
    <xf numFmtId="176" fontId="0" fillId="0" borderId="0" xfId="0"/>
    <xf numFmtId="14" fontId="7" fillId="0" borderId="0" xfId="2" applyNumberFormat="1"/>
    <xf numFmtId="0" fontId="11" fillId="0" borderId="0" xfId="2" applyNumberFormat="1" applyFont="1" applyAlignment="1" applyProtection="1">
      <alignment horizontal="center"/>
      <protection locked="0"/>
    </xf>
    <xf numFmtId="0" fontId="12" fillId="0" borderId="0" xfId="2" applyNumberFormat="1" applyFont="1" applyAlignment="1" applyProtection="1">
      <alignment horizontal="justify" wrapText="1"/>
      <protection locked="0"/>
    </xf>
    <xf numFmtId="0" fontId="9" fillId="0" borderId="0" xfId="2" applyNumberFormat="1" applyFont="1" applyAlignment="1" applyProtection="1">
      <alignment horizontal="justify" wrapText="1"/>
      <protection locked="0"/>
    </xf>
    <xf numFmtId="0" fontId="9" fillId="0" borderId="0" xfId="2" applyNumberFormat="1" applyFont="1" applyAlignment="1" applyProtection="1">
      <alignment horizontal="justify"/>
      <protection locked="0"/>
    </xf>
    <xf numFmtId="0" fontId="2" fillId="0" borderId="0" xfId="3" applyNumberFormat="1" applyProtection="1">
      <protection locked="0"/>
    </xf>
    <xf numFmtId="0" fontId="2" fillId="0" borderId="0" xfId="3" applyNumberFormat="1"/>
    <xf numFmtId="0" fontId="6" fillId="0" borderId="0" xfId="2" applyNumberFormat="1" applyFont="1" applyAlignment="1" applyProtection="1">
      <alignment horizontal="right" wrapText="1"/>
      <protection locked="0"/>
    </xf>
    <xf numFmtId="0" fontId="2" fillId="0" borderId="0" xfId="3" applyNumberFormat="1" applyFont="1"/>
    <xf numFmtId="0" fontId="2" fillId="0" borderId="0" xfId="8" applyNumberFormat="1"/>
    <xf numFmtId="0" fontId="7" fillId="0" borderId="0" xfId="2" applyNumberFormat="1"/>
    <xf numFmtId="0" fontId="7" fillId="0" borderId="0" xfId="2" applyNumberFormat="1" applyFill="1"/>
    <xf numFmtId="0" fontId="10" fillId="0" borderId="0" xfId="1" applyNumberFormat="1" applyFont="1" applyAlignment="1" applyProtection="1"/>
    <xf numFmtId="0" fontId="6" fillId="0" borderId="0" xfId="2" applyNumberFormat="1" applyFont="1" applyAlignment="1">
      <alignment wrapText="1"/>
    </xf>
    <xf numFmtId="0" fontId="7" fillId="0" borderId="0" xfId="2" applyNumberFormat="1" applyFont="1" applyAlignment="1">
      <alignment wrapText="1"/>
    </xf>
    <xf numFmtId="0" fontId="2" fillId="0" borderId="0" xfId="8" applyNumberFormat="1" applyAlignment="1"/>
    <xf numFmtId="176" fontId="13" fillId="0" borderId="0" xfId="2" applyFont="1" applyAlignment="1" applyProtection="1">
      <alignment horizontal="right" wrapText="1"/>
      <protection locked="0"/>
    </xf>
    <xf numFmtId="176" fontId="7" fillId="0" borderId="0" xfId="2" applyBorder="1" applyProtection="1">
      <protection locked="0"/>
    </xf>
    <xf numFmtId="176" fontId="5" fillId="0" borderId="0" xfId="2" applyFont="1" applyBorder="1" applyAlignment="1" applyProtection="1">
      <alignment horizontal="center"/>
      <protection locked="0"/>
    </xf>
    <xf numFmtId="176" fontId="10" fillId="0" borderId="0" xfId="1" applyFont="1" applyAlignment="1" applyProtection="1">
      <alignment horizontal="center" wrapText="1"/>
      <protection locked="0"/>
    </xf>
    <xf numFmtId="0" fontId="2" fillId="0" borderId="0" xfId="3" applyNumberFormat="1" applyFill="1"/>
    <xf numFmtId="176" fontId="14" fillId="0" borderId="0" xfId="2" applyFont="1" applyBorder="1" applyAlignment="1" applyProtection="1">
      <alignment horizontal="center"/>
      <protection locked="0"/>
    </xf>
    <xf numFmtId="176" fontId="8" fillId="0" borderId="0" xfId="2" applyNumberFormat="1" applyFont="1" applyAlignment="1" applyProtection="1">
      <alignment horizontal="right" wrapText="1"/>
      <protection locked="0"/>
    </xf>
    <xf numFmtId="176" fontId="8" fillId="0" borderId="5" xfId="2" applyFont="1" applyBorder="1" applyAlignment="1" applyProtection="1">
      <alignment vertical="center"/>
      <protection locked="0"/>
    </xf>
    <xf numFmtId="0" fontId="7" fillId="0" borderId="0" xfId="2" applyNumberFormat="1" applyAlignment="1"/>
    <xf numFmtId="0" fontId="12" fillId="0" borderId="0" xfId="2" applyNumberFormat="1" applyFont="1" applyAlignment="1" applyProtection="1">
      <alignment horizontal="left" wrapText="1"/>
      <protection locked="0"/>
    </xf>
    <xf numFmtId="0" fontId="9" fillId="0" borderId="0" xfId="2" applyNumberFormat="1" applyFont="1" applyAlignment="1" applyProtection="1">
      <alignment horizontal="center" vertical="center" wrapText="1"/>
      <protection locked="0"/>
    </xf>
    <xf numFmtId="176" fontId="15" fillId="0" borderId="0" xfId="2" applyFont="1" applyAlignment="1" applyProtection="1">
      <alignment horizontal="right" wrapText="1"/>
      <protection locked="0"/>
    </xf>
    <xf numFmtId="0" fontId="18" fillId="2" borderId="0" xfId="9" applyFill="1" applyAlignment="1">
      <alignment wrapText="1"/>
    </xf>
    <xf numFmtId="0" fontId="2" fillId="2" borderId="0" xfId="9" applyFont="1" applyFill="1" applyAlignment="1">
      <alignment wrapText="1"/>
    </xf>
    <xf numFmtId="0" fontId="18" fillId="2" borderId="0" xfId="9" applyFill="1" applyAlignment="1">
      <alignment horizontal="center" wrapText="1"/>
    </xf>
    <xf numFmtId="0" fontId="18" fillId="2" borderId="0" xfId="9" applyFill="1" applyAlignment="1">
      <alignment horizontal="left" wrapText="1" indent="1"/>
    </xf>
    <xf numFmtId="0" fontId="19" fillId="2" borderId="0" xfId="9" applyFont="1" applyFill="1" applyAlignment="1">
      <alignment horizontal="center" vertical="center" wrapText="1"/>
    </xf>
    <xf numFmtId="0" fontId="21" fillId="3" borderId="15" xfId="9" applyFont="1" applyFill="1" applyBorder="1" applyAlignment="1">
      <alignment vertical="center" wrapText="1"/>
    </xf>
    <xf numFmtId="0" fontId="2" fillId="3" borderId="16" xfId="9" applyFont="1" applyFill="1" applyBorder="1" applyAlignment="1">
      <alignment wrapText="1"/>
    </xf>
    <xf numFmtId="0" fontId="19" fillId="3" borderId="17" xfId="9" applyFont="1" applyFill="1" applyBorder="1" applyAlignment="1">
      <alignment horizontal="center" vertical="center" wrapText="1"/>
    </xf>
    <xf numFmtId="0" fontId="22" fillId="3" borderId="0" xfId="9" applyFont="1" applyFill="1" applyBorder="1" applyAlignment="1">
      <alignment horizontal="center" vertical="center" wrapText="1"/>
    </xf>
    <xf numFmtId="0" fontId="1" fillId="3" borderId="22" xfId="9" applyFont="1" applyFill="1" applyBorder="1" applyAlignment="1">
      <alignment horizontal="left" vertical="center" wrapText="1" indent="1"/>
    </xf>
    <xf numFmtId="0" fontId="4" fillId="3" borderId="0" xfId="9" applyFont="1" applyFill="1" applyBorder="1" applyAlignment="1">
      <alignment horizontal="center" vertical="center" wrapText="1"/>
    </xf>
    <xf numFmtId="0" fontId="4" fillId="4" borderId="19" xfId="9" applyFont="1" applyFill="1" applyBorder="1" applyAlignment="1">
      <alignment horizontal="center" vertical="center" wrapText="1"/>
    </xf>
    <xf numFmtId="0" fontId="4" fillId="4" borderId="20" xfId="9" applyFont="1" applyFill="1" applyBorder="1" applyAlignment="1">
      <alignment horizontal="center" vertical="center" wrapText="1"/>
    </xf>
    <xf numFmtId="0" fontId="4" fillId="4" borderId="21" xfId="9" applyFont="1" applyFill="1" applyBorder="1" applyAlignment="1">
      <alignment horizontal="center" vertical="center" wrapText="1"/>
    </xf>
    <xf numFmtId="0" fontId="4" fillId="4" borderId="23" xfId="9" applyFont="1" applyFill="1" applyBorder="1" applyAlignment="1">
      <alignment horizontal="center" vertical="center" wrapText="1"/>
    </xf>
    <xf numFmtId="0" fontId="4" fillId="4" borderId="2" xfId="9" applyFont="1" applyFill="1" applyBorder="1" applyAlignment="1">
      <alignment horizontal="center" vertical="center" wrapText="1"/>
    </xf>
    <xf numFmtId="0" fontId="4" fillId="4" borderId="24" xfId="9" applyFont="1" applyFill="1" applyBorder="1" applyAlignment="1">
      <alignment horizontal="center" vertical="center" wrapText="1"/>
    </xf>
    <xf numFmtId="0" fontId="4" fillId="4" borderId="26" xfId="9" applyFont="1" applyFill="1" applyBorder="1" applyAlignment="1">
      <alignment horizontal="center" vertical="center" wrapText="1"/>
    </xf>
    <xf numFmtId="0" fontId="4" fillId="4" borderId="1" xfId="9" applyFont="1" applyFill="1" applyBorder="1" applyAlignment="1">
      <alignment horizontal="center" vertical="center" wrapText="1"/>
    </xf>
    <xf numFmtId="0" fontId="4" fillId="4" borderId="27" xfId="9" applyFont="1" applyFill="1" applyBorder="1" applyAlignment="1">
      <alignment horizontal="center" vertical="center" wrapText="1"/>
    </xf>
    <xf numFmtId="0" fontId="26" fillId="3" borderId="0" xfId="9" applyFont="1" applyFill="1" applyBorder="1" applyAlignment="1">
      <alignment horizontal="center" vertical="center" wrapText="1"/>
    </xf>
    <xf numFmtId="0" fontId="19" fillId="3" borderId="29" xfId="9" applyFont="1" applyFill="1" applyBorder="1" applyAlignment="1">
      <alignment horizontal="center" vertical="center" wrapText="1"/>
    </xf>
    <xf numFmtId="0" fontId="19" fillId="3" borderId="15" xfId="9" applyFont="1" applyFill="1" applyBorder="1" applyAlignment="1">
      <alignment horizontal="left" vertical="center" wrapText="1" indent="1"/>
    </xf>
    <xf numFmtId="0" fontId="22" fillId="3" borderId="18" xfId="9" applyFont="1" applyFill="1" applyBorder="1" applyAlignment="1">
      <alignment horizontal="center" vertical="center" wrapText="1"/>
    </xf>
    <xf numFmtId="0" fontId="4" fillId="4" borderId="30" xfId="9" applyFont="1" applyFill="1" applyBorder="1" applyAlignment="1">
      <alignment horizontal="center" vertical="center" wrapText="1"/>
    </xf>
    <xf numFmtId="0" fontId="1" fillId="3" borderId="18" xfId="9" applyFont="1" applyFill="1" applyBorder="1" applyAlignment="1">
      <alignment horizontal="left" vertical="center" wrapText="1" indent="1"/>
    </xf>
    <xf numFmtId="0" fontId="22" fillId="3" borderId="25" xfId="9" applyFont="1" applyFill="1" applyBorder="1" applyAlignment="1">
      <alignment horizontal="center" vertical="center" wrapText="1"/>
    </xf>
    <xf numFmtId="0" fontId="4" fillId="4" borderId="29" xfId="9" applyFont="1" applyFill="1" applyBorder="1" applyAlignment="1">
      <alignment horizontal="center" vertical="center" wrapText="1"/>
    </xf>
    <xf numFmtId="0" fontId="1" fillId="3" borderId="25" xfId="9" applyFont="1" applyFill="1" applyBorder="1" applyAlignment="1">
      <alignment horizontal="left" vertical="center" wrapText="1" indent="1"/>
    </xf>
    <xf numFmtId="0" fontId="17" fillId="3" borderId="33" xfId="9" applyFont="1" applyFill="1" applyBorder="1" applyAlignment="1">
      <alignment horizontal="center" vertical="center" wrapText="1"/>
    </xf>
    <xf numFmtId="0" fontId="18" fillId="2" borderId="0" xfId="9" applyFill="1" applyBorder="1" applyAlignment="1">
      <alignment wrapText="1"/>
    </xf>
    <xf numFmtId="0" fontId="21" fillId="2" borderId="2" xfId="9" applyFont="1" applyFill="1" applyBorder="1" applyAlignment="1">
      <alignment horizontal="center" vertical="center" wrapText="1"/>
    </xf>
    <xf numFmtId="0" fontId="18" fillId="2" borderId="0" xfId="9" applyFill="1" applyAlignment="1">
      <alignment horizontal="center" vertical="center" wrapText="1"/>
    </xf>
    <xf numFmtId="0" fontId="18" fillId="2" borderId="0" xfId="9" applyFill="1" applyAlignment="1">
      <alignment horizontal="right" wrapText="1"/>
    </xf>
    <xf numFmtId="0" fontId="18" fillId="6" borderId="6" xfId="9" applyFill="1" applyBorder="1" applyAlignment="1">
      <alignment horizontal="center" wrapText="1"/>
    </xf>
    <xf numFmtId="0" fontId="2" fillId="6" borderId="10" xfId="9" applyFont="1" applyFill="1" applyBorder="1" applyAlignment="1">
      <alignment horizontal="center" wrapText="1"/>
    </xf>
    <xf numFmtId="0" fontId="2" fillId="6" borderId="7" xfId="9" applyFont="1" applyFill="1" applyBorder="1" applyAlignment="1">
      <alignment horizontal="center" wrapText="1"/>
    </xf>
    <xf numFmtId="0" fontId="18" fillId="2" borderId="0" xfId="9" applyFill="1" applyAlignment="1">
      <alignment horizontal="left" vertical="center" wrapText="1"/>
    </xf>
    <xf numFmtId="0" fontId="18" fillId="6" borderId="35" xfId="9" applyFill="1" applyBorder="1" applyAlignment="1">
      <alignment horizontal="center" wrapText="1"/>
    </xf>
    <xf numFmtId="0" fontId="2" fillId="6" borderId="0" xfId="9" applyFont="1" applyFill="1" applyBorder="1" applyAlignment="1">
      <alignment horizontal="center" wrapText="1"/>
    </xf>
    <xf numFmtId="0" fontId="18" fillId="6" borderId="0" xfId="9" applyFill="1" applyBorder="1" applyAlignment="1">
      <alignment horizontal="center" wrapText="1"/>
    </xf>
    <xf numFmtId="0" fontId="18" fillId="6" borderId="36" xfId="9" applyFill="1" applyBorder="1" applyAlignment="1">
      <alignment horizontal="center" wrapText="1"/>
    </xf>
    <xf numFmtId="0" fontId="2" fillId="6" borderId="36" xfId="9" applyFont="1" applyFill="1" applyBorder="1" applyAlignment="1">
      <alignment horizontal="center" wrapText="1"/>
    </xf>
    <xf numFmtId="0" fontId="18" fillId="6" borderId="37" xfId="9" applyFill="1" applyBorder="1" applyAlignment="1">
      <alignment horizontal="center" wrapText="1"/>
    </xf>
    <xf numFmtId="0" fontId="2" fillId="6" borderId="5" xfId="9" applyFont="1" applyFill="1" applyBorder="1" applyAlignment="1">
      <alignment horizontal="center" wrapText="1"/>
    </xf>
    <xf numFmtId="0" fontId="18" fillId="6" borderId="38" xfId="9" applyFill="1" applyBorder="1" applyAlignment="1">
      <alignment horizontal="center" wrapText="1"/>
    </xf>
    <xf numFmtId="0" fontId="2" fillId="2" borderId="0" xfId="9" applyFont="1" applyFill="1" applyAlignment="1">
      <alignment horizontal="center" wrapText="1"/>
    </xf>
    <xf numFmtId="0" fontId="18" fillId="0" borderId="0" xfId="9"/>
    <xf numFmtId="0" fontId="18" fillId="4" borderId="31" xfId="9" applyFill="1" applyBorder="1" applyAlignment="1">
      <alignment horizontal="center"/>
    </xf>
    <xf numFmtId="0" fontId="18" fillId="7" borderId="24" xfId="9" applyFill="1" applyBorder="1"/>
    <xf numFmtId="0" fontId="16" fillId="4" borderId="23" xfId="9" applyFont="1" applyFill="1" applyBorder="1"/>
    <xf numFmtId="0" fontId="18" fillId="4" borderId="24" xfId="9" applyFill="1" applyBorder="1" applyAlignment="1">
      <alignment horizontal="right"/>
    </xf>
    <xf numFmtId="0" fontId="32" fillId="4" borderId="31" xfId="9" applyFont="1" applyFill="1" applyBorder="1" applyAlignment="1">
      <alignment horizontal="left"/>
    </xf>
    <xf numFmtId="0" fontId="18" fillId="4" borderId="31" xfId="9" applyFill="1" applyBorder="1" applyAlignment="1">
      <alignment horizontal="left"/>
    </xf>
    <xf numFmtId="0" fontId="18" fillId="4" borderId="24" xfId="9" applyFill="1" applyBorder="1"/>
    <xf numFmtId="0" fontId="18" fillId="8" borderId="24" xfId="9" applyFill="1" applyBorder="1"/>
    <xf numFmtId="0" fontId="33" fillId="4" borderId="0" xfId="9" applyFont="1" applyFill="1" applyAlignment="1">
      <alignment horizontal="right"/>
    </xf>
    <xf numFmtId="0" fontId="18" fillId="8" borderId="27" xfId="9" applyFill="1" applyBorder="1" applyAlignment="1">
      <alignment horizontal="right"/>
    </xf>
    <xf numFmtId="0" fontId="16" fillId="8" borderId="26" xfId="9" applyFont="1" applyFill="1" applyBorder="1"/>
    <xf numFmtId="0" fontId="16" fillId="4" borderId="26" xfId="9" applyFont="1" applyFill="1" applyBorder="1"/>
    <xf numFmtId="0" fontId="18" fillId="4" borderId="27" xfId="9" applyFill="1" applyBorder="1" applyAlignment="1"/>
    <xf numFmtId="0" fontId="18" fillId="0" borderId="0" xfId="9" applyFill="1"/>
    <xf numFmtId="0" fontId="34" fillId="0" borderId="0" xfId="9" applyFont="1"/>
    <xf numFmtId="0" fontId="35" fillId="4" borderId="39" xfId="9" applyFont="1" applyFill="1" applyBorder="1"/>
    <xf numFmtId="0" fontId="35" fillId="4" borderId="40" xfId="9" applyFont="1" applyFill="1" applyBorder="1"/>
    <xf numFmtId="0" fontId="35" fillId="4" borderId="44" xfId="9" applyFont="1" applyFill="1" applyBorder="1"/>
    <xf numFmtId="0" fontId="35" fillId="4" borderId="45" xfId="9" applyFont="1" applyFill="1" applyBorder="1"/>
    <xf numFmtId="0" fontId="35" fillId="4" borderId="46" xfId="9" applyFont="1" applyFill="1" applyBorder="1"/>
    <xf numFmtId="0" fontId="35" fillId="4" borderId="47" xfId="9" applyFont="1" applyFill="1" applyBorder="1"/>
    <xf numFmtId="0" fontId="36" fillId="0" borderId="0" xfId="9" applyFont="1"/>
    <xf numFmtId="0" fontId="18" fillId="8" borderId="0" xfId="9" applyFill="1"/>
    <xf numFmtId="0" fontId="18" fillId="0" borderId="39" xfId="9" applyBorder="1"/>
    <xf numFmtId="0" fontId="18" fillId="0" borderId="40" xfId="9" applyBorder="1"/>
    <xf numFmtId="0" fontId="18" fillId="0" borderId="49" xfId="9" applyBorder="1"/>
    <xf numFmtId="0" fontId="18" fillId="0" borderId="50" xfId="9" applyBorder="1"/>
    <xf numFmtId="0" fontId="31" fillId="0" borderId="51" xfId="9" applyFont="1" applyBorder="1"/>
    <xf numFmtId="0" fontId="31" fillId="0" borderId="4" xfId="9" applyFont="1" applyBorder="1"/>
    <xf numFmtId="0" fontId="31" fillId="0" borderId="52" xfId="9" applyFont="1" applyBorder="1"/>
    <xf numFmtId="0" fontId="31" fillId="0" borderId="53" xfId="9" applyFont="1" applyBorder="1"/>
    <xf numFmtId="0" fontId="31" fillId="0" borderId="54" xfId="9" applyFont="1" applyBorder="1"/>
    <xf numFmtId="0" fontId="31" fillId="0" borderId="55" xfId="9" applyFont="1" applyBorder="1"/>
    <xf numFmtId="0" fontId="18" fillId="0" borderId="52" xfId="9" applyBorder="1"/>
    <xf numFmtId="0" fontId="18" fillId="0" borderId="53" xfId="9" applyBorder="1"/>
    <xf numFmtId="0" fontId="18" fillId="0" borderId="54" xfId="9" applyBorder="1"/>
    <xf numFmtId="0" fontId="18" fillId="0" borderId="55" xfId="9" applyBorder="1"/>
    <xf numFmtId="0" fontId="18" fillId="4" borderId="56" xfId="9" applyFill="1" applyBorder="1"/>
    <xf numFmtId="0" fontId="18" fillId="4" borderId="57" xfId="9" applyFill="1" applyBorder="1"/>
    <xf numFmtId="0" fontId="18" fillId="4" borderId="58" xfId="9" applyFill="1" applyBorder="1"/>
    <xf numFmtId="0" fontId="18" fillId="4" borderId="59" xfId="9" applyFill="1" applyBorder="1"/>
    <xf numFmtId="0" fontId="31" fillId="4" borderId="51" xfId="9" applyFont="1" applyFill="1" applyBorder="1"/>
    <xf numFmtId="0" fontId="31" fillId="4" borderId="4" xfId="9" applyFont="1" applyFill="1" applyBorder="1"/>
    <xf numFmtId="0" fontId="18" fillId="0" borderId="60" xfId="9" applyFill="1" applyBorder="1"/>
    <xf numFmtId="0" fontId="31" fillId="0" borderId="60" xfId="9" applyFont="1" applyFill="1" applyBorder="1"/>
    <xf numFmtId="0" fontId="18" fillId="0" borderId="60" xfId="9" applyBorder="1"/>
    <xf numFmtId="0" fontId="18" fillId="0" borderId="52" xfId="9" applyFill="1" applyBorder="1"/>
    <xf numFmtId="0" fontId="18" fillId="0" borderId="54" xfId="9" applyFill="1" applyBorder="1"/>
    <xf numFmtId="0" fontId="18" fillId="0" borderId="55" xfId="9" applyFill="1" applyBorder="1"/>
    <xf numFmtId="0" fontId="18" fillId="0" borderId="61" xfId="9" applyFill="1" applyBorder="1"/>
    <xf numFmtId="0" fontId="31" fillId="0" borderId="62" xfId="9" applyFont="1" applyBorder="1"/>
    <xf numFmtId="0" fontId="31" fillId="0" borderId="61" xfId="9" applyFont="1" applyBorder="1"/>
    <xf numFmtId="0" fontId="31" fillId="0" borderId="63" xfId="9" applyFont="1" applyBorder="1"/>
    <xf numFmtId="0" fontId="31" fillId="0" borderId="64" xfId="9" applyFont="1" applyBorder="1"/>
    <xf numFmtId="0" fontId="18" fillId="0" borderId="53" xfId="9" applyFill="1" applyBorder="1"/>
    <xf numFmtId="0" fontId="18" fillId="0" borderId="65" xfId="9" applyBorder="1"/>
    <xf numFmtId="0" fontId="18" fillId="0" borderId="66" xfId="9" applyFont="1" applyBorder="1" applyAlignment="1">
      <alignment horizontal="right"/>
    </xf>
    <xf numFmtId="0" fontId="18" fillId="0" borderId="67" xfId="9" applyBorder="1"/>
    <xf numFmtId="0" fontId="18" fillId="0" borderId="68" xfId="9" applyBorder="1"/>
    <xf numFmtId="0" fontId="18" fillId="0" borderId="69" xfId="9" applyBorder="1"/>
    <xf numFmtId="0" fontId="18" fillId="0" borderId="70" xfId="9" applyBorder="1" applyAlignment="1">
      <alignment horizontal="right"/>
    </xf>
    <xf numFmtId="0" fontId="18" fillId="0" borderId="71" xfId="9" applyBorder="1"/>
    <xf numFmtId="0" fontId="18" fillId="0" borderId="72" xfId="9" applyBorder="1"/>
    <xf numFmtId="0" fontId="18" fillId="0" borderId="73" xfId="9" applyBorder="1"/>
    <xf numFmtId="0" fontId="20" fillId="0" borderId="12" xfId="9" applyFont="1" applyFill="1" applyBorder="1" applyAlignment="1">
      <alignment horizontal="center" vertical="center" wrapText="1"/>
    </xf>
    <xf numFmtId="0" fontId="20" fillId="0" borderId="13" xfId="9" applyFont="1" applyFill="1" applyBorder="1" applyAlignment="1">
      <alignment horizontal="center" vertical="center" wrapText="1"/>
    </xf>
    <xf numFmtId="0" fontId="20" fillId="0" borderId="14" xfId="9" applyFont="1" applyFill="1" applyBorder="1" applyAlignment="1">
      <alignment horizontal="center" vertical="center" wrapText="1"/>
    </xf>
    <xf numFmtId="0" fontId="19" fillId="3" borderId="16" xfId="9" applyFont="1" applyFill="1" applyBorder="1" applyAlignment="1">
      <alignment horizontal="center" vertical="center" wrapText="1"/>
    </xf>
    <xf numFmtId="0" fontId="21" fillId="3" borderId="18" xfId="9" applyFont="1" applyFill="1" applyBorder="1" applyAlignment="1">
      <alignment horizontal="center" vertical="center" wrapText="1"/>
    </xf>
    <xf numFmtId="0" fontId="21" fillId="3" borderId="25" xfId="9" applyFont="1" applyFill="1" applyBorder="1" applyAlignment="1">
      <alignment horizontal="center" vertical="center" wrapText="1"/>
    </xf>
    <xf numFmtId="0" fontId="4" fillId="4" borderId="19" xfId="9" applyFont="1" applyFill="1" applyBorder="1" applyAlignment="1">
      <alignment horizontal="center" vertical="center" wrapText="1"/>
    </xf>
    <xf numFmtId="0" fontId="4" fillId="4" borderId="20" xfId="9" applyFont="1" applyFill="1" applyBorder="1" applyAlignment="1">
      <alignment horizontal="center" vertical="center" wrapText="1"/>
    </xf>
    <xf numFmtId="0" fontId="4" fillId="4" borderId="21" xfId="9" applyFont="1" applyFill="1" applyBorder="1" applyAlignment="1">
      <alignment horizontal="center" vertical="center" wrapText="1"/>
    </xf>
    <xf numFmtId="0" fontId="1" fillId="3" borderId="22" xfId="9" applyFont="1" applyFill="1" applyBorder="1" applyAlignment="1">
      <alignment horizontal="left" vertical="center" wrapText="1" indent="1"/>
    </xf>
    <xf numFmtId="0" fontId="4" fillId="4" borderId="23" xfId="9" applyFont="1" applyFill="1" applyBorder="1" applyAlignment="1">
      <alignment horizontal="center" vertical="center" wrapText="1"/>
    </xf>
    <xf numFmtId="0" fontId="4" fillId="4" borderId="2" xfId="9" applyFont="1" applyFill="1" applyBorder="1" applyAlignment="1">
      <alignment horizontal="center" vertical="center" wrapText="1"/>
    </xf>
    <xf numFmtId="0" fontId="4" fillId="4" borderId="24" xfId="9" applyFont="1" applyFill="1" applyBorder="1" applyAlignment="1">
      <alignment horizontal="center" vertical="center" wrapText="1"/>
    </xf>
    <xf numFmtId="0" fontId="24" fillId="5" borderId="26" xfId="9" applyFont="1" applyFill="1" applyBorder="1" applyAlignment="1">
      <alignment horizontal="center" vertical="center" wrapText="1"/>
    </xf>
    <xf numFmtId="0" fontId="24" fillId="5" borderId="1" xfId="9" applyFont="1" applyFill="1" applyBorder="1" applyAlignment="1">
      <alignment horizontal="center" vertical="center" wrapText="1"/>
    </xf>
    <xf numFmtId="0" fontId="24" fillId="5" borderId="27" xfId="9" applyFont="1" applyFill="1" applyBorder="1" applyAlignment="1">
      <alignment horizontal="center" vertical="center" wrapText="1"/>
    </xf>
    <xf numFmtId="0" fontId="31" fillId="3" borderId="11" xfId="9" applyFont="1" applyFill="1" applyBorder="1" applyAlignment="1">
      <alignment horizontal="left" vertical="center" wrapText="1"/>
    </xf>
    <xf numFmtId="0" fontId="31" fillId="3" borderId="34" xfId="9" applyFont="1" applyFill="1" applyBorder="1" applyAlignment="1">
      <alignment horizontal="left" vertical="center" wrapText="1"/>
    </xf>
    <xf numFmtId="0" fontId="21" fillId="3" borderId="15" xfId="9" applyFont="1" applyFill="1" applyBorder="1" applyAlignment="1">
      <alignment horizontal="center" vertical="center" wrapText="1"/>
    </xf>
    <xf numFmtId="0" fontId="4" fillId="4" borderId="12" xfId="9" applyFont="1" applyFill="1" applyBorder="1" applyAlignment="1">
      <alignment horizontal="center" vertical="center" wrapText="1"/>
    </xf>
    <xf numFmtId="0" fontId="4" fillId="4" borderId="13" xfId="9" applyFont="1" applyFill="1" applyBorder="1" applyAlignment="1">
      <alignment horizontal="center" vertical="center" wrapText="1"/>
    </xf>
    <xf numFmtId="0" fontId="4" fillId="4" borderId="14" xfId="9" applyFont="1" applyFill="1" applyBorder="1" applyAlignment="1">
      <alignment horizontal="center" vertical="center" wrapText="1"/>
    </xf>
    <xf numFmtId="0" fontId="1" fillId="3" borderId="22" xfId="9" applyFont="1" applyFill="1" applyBorder="1" applyAlignment="1">
      <alignment horizontal="left" vertical="top" wrapText="1" indent="1"/>
    </xf>
    <xf numFmtId="0" fontId="25" fillId="0" borderId="28" xfId="9" applyFont="1" applyFill="1" applyBorder="1" applyAlignment="1">
      <alignment horizontal="center" vertical="center" wrapText="1"/>
    </xf>
    <xf numFmtId="0" fontId="25" fillId="0" borderId="16" xfId="9" applyFont="1" applyFill="1" applyBorder="1" applyAlignment="1">
      <alignment horizontal="center" vertical="center" wrapText="1"/>
    </xf>
    <xf numFmtId="0" fontId="25" fillId="0" borderId="17" xfId="9" applyFont="1" applyFill="1" applyBorder="1" applyAlignment="1">
      <alignment horizontal="center" vertical="center" wrapText="1"/>
    </xf>
    <xf numFmtId="0" fontId="19" fillId="3" borderId="12" xfId="9" applyFont="1" applyFill="1" applyBorder="1" applyAlignment="1">
      <alignment horizontal="center" vertical="center" wrapText="1"/>
    </xf>
    <xf numFmtId="0" fontId="19" fillId="3" borderId="14" xfId="9" applyFont="1" applyFill="1" applyBorder="1" applyAlignment="1">
      <alignment horizontal="center" vertical="center" wrapText="1"/>
    </xf>
    <xf numFmtId="0" fontId="4" fillId="4" borderId="31" xfId="9" applyFont="1" applyFill="1" applyBorder="1" applyAlignment="1">
      <alignment horizontal="left" vertical="center" wrapText="1"/>
    </xf>
    <xf numFmtId="0" fontId="4" fillId="4" borderId="32" xfId="9" applyFont="1" applyFill="1" applyBorder="1" applyAlignment="1">
      <alignment horizontal="left" vertical="center" wrapText="1"/>
    </xf>
    <xf numFmtId="0" fontId="11" fillId="5" borderId="2" xfId="9" applyFont="1" applyFill="1" applyBorder="1" applyAlignment="1">
      <alignment horizontal="center" vertical="center" wrapText="1"/>
    </xf>
    <xf numFmtId="0" fontId="11" fillId="5" borderId="8" xfId="9" applyFont="1" applyFill="1" applyBorder="1" applyAlignment="1">
      <alignment horizontal="center" vertical="center" wrapText="1"/>
    </xf>
    <xf numFmtId="0" fontId="11" fillId="5" borderId="9" xfId="9" applyFont="1" applyFill="1" applyBorder="1" applyAlignment="1">
      <alignment horizontal="center" vertical="center" wrapText="1"/>
    </xf>
    <xf numFmtId="0" fontId="11" fillId="5" borderId="3" xfId="9" applyFont="1" applyFill="1" applyBorder="1" applyAlignment="1">
      <alignment horizontal="center" vertical="center" wrapText="1"/>
    </xf>
    <xf numFmtId="0" fontId="21" fillId="5" borderId="8" xfId="9" applyFont="1" applyFill="1" applyBorder="1" applyAlignment="1">
      <alignment horizontal="center" vertical="center" wrapText="1"/>
    </xf>
    <xf numFmtId="0" fontId="21" fillId="5" borderId="9" xfId="9" applyFont="1" applyFill="1" applyBorder="1" applyAlignment="1">
      <alignment horizontal="center" vertical="center" wrapText="1"/>
    </xf>
    <xf numFmtId="0" fontId="21" fillId="5" borderId="3" xfId="9" applyFont="1" applyFill="1" applyBorder="1" applyAlignment="1">
      <alignment horizontal="center" vertical="center" wrapText="1"/>
    </xf>
    <xf numFmtId="0" fontId="19" fillId="5" borderId="2" xfId="9" applyFont="1" applyFill="1" applyBorder="1" applyAlignment="1">
      <alignment horizontal="center" vertical="center" wrapText="1"/>
    </xf>
    <xf numFmtId="0" fontId="21" fillId="5" borderId="2" xfId="9" applyFont="1" applyFill="1" applyBorder="1" applyAlignment="1">
      <alignment horizontal="center" vertical="center" wrapText="1"/>
    </xf>
    <xf numFmtId="0" fontId="21" fillId="2" borderId="0" xfId="9" applyFont="1" applyFill="1" applyAlignment="1">
      <alignment horizontal="center" wrapText="1"/>
    </xf>
    <xf numFmtId="0" fontId="5" fillId="2" borderId="0" xfId="9" applyFont="1" applyFill="1" applyAlignment="1">
      <alignment horizontal="center" wrapText="1"/>
    </xf>
    <xf numFmtId="0" fontId="21" fillId="2" borderId="0" xfId="9" applyFont="1" applyFill="1" applyBorder="1" applyAlignment="1">
      <alignment horizontal="center" wrapText="1"/>
    </xf>
    <xf numFmtId="0" fontId="16" fillId="4" borderId="31" xfId="9" applyFont="1" applyFill="1" applyBorder="1" applyAlignment="1">
      <alignment horizontal="center"/>
    </xf>
    <xf numFmtId="0" fontId="16" fillId="4" borderId="32" xfId="9" applyFont="1" applyFill="1" applyBorder="1" applyAlignment="1">
      <alignment horizontal="center"/>
    </xf>
    <xf numFmtId="0" fontId="35" fillId="4" borderId="41" xfId="9" applyFont="1" applyFill="1" applyBorder="1" applyAlignment="1">
      <alignment horizontal="center"/>
    </xf>
    <xf numFmtId="0" fontId="35" fillId="4" borderId="42" xfId="9" applyFont="1" applyFill="1" applyBorder="1" applyAlignment="1">
      <alignment horizontal="center"/>
    </xf>
    <xf numFmtId="0" fontId="18" fillId="0" borderId="43" xfId="9" applyBorder="1" applyAlignment="1">
      <alignment horizontal="center" vertical="center"/>
    </xf>
    <xf numFmtId="0" fontId="18" fillId="0" borderId="48" xfId="9" applyBorder="1" applyAlignment="1">
      <alignment horizontal="center" vertical="center"/>
    </xf>
    <xf numFmtId="0" fontId="17" fillId="4" borderId="15" xfId="9" applyFont="1" applyFill="1" applyBorder="1" applyAlignment="1">
      <alignment horizontal="center" vertical="center" wrapText="1"/>
    </xf>
    <xf numFmtId="0" fontId="17" fillId="4" borderId="18" xfId="9" applyFont="1" applyFill="1" applyBorder="1" applyAlignment="1">
      <alignment horizontal="center" vertical="center" wrapText="1"/>
    </xf>
    <xf numFmtId="0" fontId="17" fillId="4" borderId="25" xfId="9" applyFont="1" applyFill="1" applyBorder="1" applyAlignment="1">
      <alignment horizontal="center" vertical="center" wrapText="1"/>
    </xf>
    <xf numFmtId="0" fontId="18" fillId="4" borderId="31" xfId="9" applyFill="1" applyBorder="1" applyAlignment="1">
      <alignment horizontal="center"/>
    </xf>
    <xf numFmtId="0" fontId="18" fillId="4" borderId="32" xfId="9" applyFill="1" applyBorder="1" applyAlignment="1">
      <alignment horizontal="center"/>
    </xf>
  </cellXfs>
  <cellStyles count="10">
    <cellStyle name="Dezimal [0]_IWD_2004_wk04 Regression Test Allocation_ results_consolidated_20040130" xfId="4"/>
    <cellStyle name="Dezimal_IWD_2004_wk04 Regression Test Allocation_ results_consolidated_20040130" xfId="5"/>
    <cellStyle name="Hyperlink" xfId="1" builtinId="8"/>
    <cellStyle name="Normal" xfId="0" builtinId="0"/>
    <cellStyle name="Normal 2" xfId="8"/>
    <cellStyle name="Normal 3" xfId="9"/>
    <cellStyle name="Normal_80-V0289-1_B" xfId="2"/>
    <cellStyle name="Normal_80-VD450-1_A" xfId="3"/>
    <cellStyle name="Währung [0]_CR tracking" xfId="6"/>
    <cellStyle name="Währung_CR tracking" xfId="7"/>
  </cellStyles>
  <dxfs count="2">
    <dxf>
      <font>
        <b/>
        <i val="0"/>
      </font>
      <border>
        <bottom style="medium">
          <color auto="1"/>
        </bottom>
      </border>
    </dxf>
    <dxf>
      <font>
        <b val="0"/>
        <i val="0"/>
      </font>
      <border>
        <left style="thin">
          <color auto="1"/>
        </left>
        <right style="thin">
          <color auto="1"/>
        </right>
        <top style="thin">
          <color auto="1"/>
        </top>
        <bottom style="thin">
          <color auto="1"/>
        </bottom>
        <vertical style="thin">
          <color auto="1"/>
        </vertical>
        <horizontal style="thin">
          <color auto="1"/>
        </horizontal>
      </border>
    </dxf>
  </dxfs>
  <tableStyles count="1" defaultTableStyle="QCTable" defaultPivotStyle="PivotStyleLight16">
    <tableStyle name="QCTable" pivot="0" count="2">
      <tableStyleElement type="wholeTable" dxfId="1"/>
      <tableStyleElement type="headerRow" dxfId="0"/>
    </tableStyle>
  </tableStyles>
  <colors>
    <mruColors>
      <color rgb="FF911C1F"/>
      <color rgb="FFFFFFFF"/>
      <color rgb="FF636568"/>
      <color rgb="FF313334"/>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externalLink" Target="externalLinks/externalLink1.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xdr:colOff>
      <xdr:row>0</xdr:row>
      <xdr:rowOff>1</xdr:rowOff>
    </xdr:from>
    <xdr:to>
      <xdr:col>1</xdr:col>
      <xdr:colOff>38100</xdr:colOff>
      <xdr:row>0</xdr:row>
      <xdr:rowOff>1500148</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 y="1"/>
          <a:ext cx="6429373" cy="150014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ying\Desktop\Qualcomm%20AF%20Simulation_V1.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stomer Worksheet"/>
    </sheetNames>
    <sheetDataSet>
      <sheetData sheetId="0">
        <row r="10">
          <cell r="D10">
            <v>0.54800000000000004</v>
          </cell>
        </row>
        <row r="16">
          <cell r="E16">
            <v>447</v>
          </cell>
        </row>
        <row r="17">
          <cell r="E17">
            <v>223</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upport.cdmatech.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35"/>
  <sheetViews>
    <sheetView zoomScaleNormal="100" zoomScaleSheetLayoutView="100" workbookViewId="0"/>
  </sheetViews>
  <sheetFormatPr defaultColWidth="9.140625" defaultRowHeight="12.75" x14ac:dyDescent="0.2"/>
  <cols>
    <col min="1" max="1" width="95.85546875" style="6" customWidth="1"/>
    <col min="2" max="2" width="10" style="7" customWidth="1"/>
    <col min="3" max="7" width="9.140625" style="7" customWidth="1"/>
    <col min="8" max="16384" width="9.140625" style="7"/>
  </cols>
  <sheetData>
    <row r="1" spans="1:26" ht="118.5" customHeight="1" x14ac:dyDescent="0.25">
      <c r="A1"/>
      <c r="B1" s="21"/>
      <c r="C1" s="15"/>
      <c r="D1" s="16"/>
      <c r="E1" s="16"/>
      <c r="F1" s="16"/>
      <c r="G1" s="16"/>
    </row>
    <row r="2" spans="1:26" ht="84.75" customHeight="1" x14ac:dyDescent="0.4">
      <c r="A2" s="28" t="s">
        <v>119</v>
      </c>
      <c r="B2" s="8"/>
      <c r="C2" s="9"/>
      <c r="Z2" s="10"/>
    </row>
    <row r="3" spans="1:26" s="11" customFormat="1" ht="29.25" customHeight="1" x14ac:dyDescent="0.3">
      <c r="A3" s="17"/>
      <c r="G3" s="25"/>
    </row>
    <row r="4" spans="1:26" s="11" customFormat="1" ht="27" customHeight="1" x14ac:dyDescent="0.25">
      <c r="A4" s="23" t="s">
        <v>118</v>
      </c>
      <c r="B4" s="1"/>
    </row>
    <row r="5" spans="1:26" s="11" customFormat="1" ht="27" customHeight="1" x14ac:dyDescent="0.25">
      <c r="A5" s="24">
        <v>41910</v>
      </c>
    </row>
    <row r="6" spans="1:26" s="11" customFormat="1" ht="16.899999999999999" customHeight="1" x14ac:dyDescent="0.25">
      <c r="A6" s="18"/>
      <c r="B6" s="12"/>
      <c r="C6" s="12"/>
      <c r="D6" s="12"/>
    </row>
    <row r="7" spans="1:26" s="11" customFormat="1" ht="16.899999999999999" customHeight="1" x14ac:dyDescent="0.25">
      <c r="A7" s="22"/>
      <c r="B7" s="12"/>
      <c r="C7" s="12"/>
      <c r="D7" s="12"/>
    </row>
    <row r="8" spans="1:26" s="11" customFormat="1" ht="16.899999999999999" customHeight="1" x14ac:dyDescent="0.25">
      <c r="A8" s="18"/>
      <c r="B8" s="12"/>
      <c r="C8" s="12"/>
      <c r="D8" s="12"/>
    </row>
    <row r="9" spans="1:26" s="13" customFormat="1" ht="18" customHeight="1" x14ac:dyDescent="0.25">
      <c r="A9" s="19" t="s">
        <v>0</v>
      </c>
    </row>
    <row r="10" spans="1:26" s="11" customFormat="1" ht="17.25" customHeight="1" x14ac:dyDescent="0.25">
      <c r="A10" s="20" t="s">
        <v>1</v>
      </c>
    </row>
    <row r="11" spans="1:26" s="11" customFormat="1" ht="17.25" customHeight="1" x14ac:dyDescent="0.25">
      <c r="A11" s="20"/>
    </row>
    <row r="12" spans="1:26" s="11" customFormat="1" ht="28.5" customHeight="1" x14ac:dyDescent="0.25">
      <c r="A12" s="2" t="s">
        <v>2</v>
      </c>
    </row>
    <row r="13" spans="1:26" s="11" customFormat="1" ht="39.75" customHeight="1" x14ac:dyDescent="0.25">
      <c r="A13" s="26" t="s">
        <v>9</v>
      </c>
    </row>
    <row r="14" spans="1:26" s="11" customFormat="1" ht="36" customHeight="1" x14ac:dyDescent="0.25">
      <c r="A14" s="3" t="s">
        <v>6</v>
      </c>
    </row>
    <row r="15" spans="1:26" s="11" customFormat="1" ht="30.75" customHeight="1" x14ac:dyDescent="0.25">
      <c r="A15" s="4" t="s">
        <v>7</v>
      </c>
    </row>
    <row r="16" spans="1:26" s="11" customFormat="1" ht="45" customHeight="1" x14ac:dyDescent="0.25">
      <c r="A16" s="4" t="s">
        <v>3</v>
      </c>
    </row>
    <row r="17" spans="1:2" s="11" customFormat="1" ht="21" customHeight="1" x14ac:dyDescent="0.25">
      <c r="A17" s="4" t="s">
        <v>8</v>
      </c>
    </row>
    <row r="18" spans="1:2" s="11" customFormat="1" ht="57" customHeight="1" x14ac:dyDescent="0.4">
      <c r="A18" s="4" t="s">
        <v>4</v>
      </c>
      <c r="B18" s="14"/>
    </row>
    <row r="19" spans="1:2" s="11" customFormat="1" ht="28.5" customHeight="1" x14ac:dyDescent="0.25">
      <c r="A19" s="5" t="s">
        <v>5</v>
      </c>
    </row>
    <row r="20" spans="1:2" ht="129" customHeight="1" x14ac:dyDescent="0.2">
      <c r="A20" s="27" t="s">
        <v>10</v>
      </c>
    </row>
    <row r="25" spans="1:2" ht="13.5" customHeight="1" x14ac:dyDescent="0.2"/>
    <row r="31" spans="1:2" ht="12.75" customHeight="1" x14ac:dyDescent="0.2"/>
    <row r="32" spans="1:2" ht="12.75" customHeight="1" x14ac:dyDescent="0.2"/>
    <row r="35" ht="12.75" customHeight="1" x14ac:dyDescent="0.2"/>
  </sheetData>
  <phoneticPr fontId="37" type="noConversion"/>
  <hyperlinks>
    <hyperlink ref="A10" r:id="rId1"/>
  </hyperlinks>
  <pageMargins left="0.75" right="0.25" top="0.5" bottom="0.5" header="0.5" footer="0.5"/>
  <pageSetup scale="90" orientation="portrait" r:id="rId2"/>
  <headerFooter scaleWithDoc="0" alignWithMargins="0">
    <oddHeader>&amp;R&amp;8</oddHeader>
    <oddFooter>&amp;L&amp;8&amp;C&amp;8&amp;R&amp;8</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83"/>
  <sheetViews>
    <sheetView tabSelected="1" topLeftCell="A19" zoomScaleNormal="100" workbookViewId="0">
      <selection activeCell="E17" sqref="E17"/>
    </sheetView>
  </sheetViews>
  <sheetFormatPr defaultRowHeight="12.75" x14ac:dyDescent="0.2"/>
  <cols>
    <col min="1" max="1" width="9.42578125" style="29" customWidth="1"/>
    <col min="2" max="2" width="12.140625" style="29" customWidth="1"/>
    <col min="3" max="3" width="36.140625" style="30" customWidth="1"/>
    <col min="4" max="5" width="6.85546875" style="31" customWidth="1"/>
    <col min="6" max="6" width="12.28515625" style="31" customWidth="1"/>
    <col min="7" max="7" width="144.28515625" style="32" customWidth="1"/>
    <col min="8" max="16384" width="9.140625" style="29"/>
  </cols>
  <sheetData>
    <row r="1" spans="2:7" ht="13.5" thickBot="1" x14ac:dyDescent="0.25"/>
    <row r="2" spans="2:7" ht="24.75" customHeight="1" thickBot="1" x14ac:dyDescent="0.25">
      <c r="B2" s="33" t="s">
        <v>11</v>
      </c>
      <c r="C2" s="141"/>
      <c r="D2" s="142"/>
      <c r="E2" s="142"/>
      <c r="F2" s="143"/>
    </row>
    <row r="3" spans="2:7" ht="24.75" customHeight="1" thickBot="1" x14ac:dyDescent="0.25"/>
    <row r="4" spans="2:7" ht="28.5" customHeight="1" thickBot="1" x14ac:dyDescent="0.25">
      <c r="B4" s="34"/>
      <c r="C4" s="35"/>
      <c r="D4" s="144"/>
      <c r="E4" s="144"/>
      <c r="F4" s="144"/>
      <c r="G4" s="36" t="s">
        <v>12</v>
      </c>
    </row>
    <row r="5" spans="2:7" ht="29.25" customHeight="1" x14ac:dyDescent="0.2">
      <c r="B5" s="145" t="s">
        <v>13</v>
      </c>
      <c r="C5" s="37" t="s">
        <v>14</v>
      </c>
      <c r="D5" s="147">
        <v>3.37</v>
      </c>
      <c r="E5" s="148"/>
      <c r="F5" s="149"/>
      <c r="G5" s="150" t="s">
        <v>15</v>
      </c>
    </row>
    <row r="6" spans="2:7" ht="29.25" customHeight="1" x14ac:dyDescent="0.2">
      <c r="B6" s="145"/>
      <c r="C6" s="37" t="s">
        <v>16</v>
      </c>
      <c r="D6" s="151">
        <v>2.8</v>
      </c>
      <c r="E6" s="152"/>
      <c r="F6" s="153"/>
      <c r="G6" s="150"/>
    </row>
    <row r="7" spans="2:7" ht="29.25" customHeight="1" x14ac:dyDescent="0.2">
      <c r="B7" s="145"/>
      <c r="C7" s="37" t="s">
        <v>17</v>
      </c>
      <c r="D7" s="151">
        <v>1.4</v>
      </c>
      <c r="E7" s="152"/>
      <c r="F7" s="153"/>
      <c r="G7" s="150"/>
    </row>
    <row r="8" spans="2:7" ht="29.25" customHeight="1" thickBot="1" x14ac:dyDescent="0.25">
      <c r="B8" s="146"/>
      <c r="C8" s="37" t="s">
        <v>18</v>
      </c>
      <c r="D8" s="154">
        <f>ROUND(D5^2/(D6*((2*D7))),4)*100</f>
        <v>144.86000000000001</v>
      </c>
      <c r="E8" s="155"/>
      <c r="F8" s="156"/>
      <c r="G8" s="38"/>
    </row>
    <row r="9" spans="2:7" ht="29.25" customHeight="1" thickBot="1" x14ac:dyDescent="0.25">
      <c r="B9" s="159" t="s">
        <v>19</v>
      </c>
      <c r="C9" s="37"/>
      <c r="D9" s="39"/>
      <c r="E9" s="39"/>
      <c r="F9" s="39"/>
      <c r="G9" s="38"/>
    </row>
    <row r="10" spans="2:7" ht="65.25" customHeight="1" thickBot="1" x14ac:dyDescent="0.25">
      <c r="B10" s="145"/>
      <c r="C10" s="37" t="s">
        <v>121</v>
      </c>
      <c r="D10" s="160">
        <v>0.42699999999999999</v>
      </c>
      <c r="E10" s="161"/>
      <c r="F10" s="162"/>
      <c r="G10" s="163" t="s">
        <v>20</v>
      </c>
    </row>
    <row r="11" spans="2:7" ht="47.25" customHeight="1" thickBot="1" x14ac:dyDescent="0.25">
      <c r="B11" s="146"/>
      <c r="C11" s="37"/>
      <c r="D11" s="39"/>
      <c r="E11" s="39"/>
      <c r="F11" s="39"/>
      <c r="G11" s="163"/>
    </row>
    <row r="12" spans="2:7" ht="29.25" customHeight="1" thickBot="1" x14ac:dyDescent="0.25">
      <c r="B12" s="159" t="s">
        <v>21</v>
      </c>
      <c r="C12" s="37"/>
      <c r="D12" s="39" t="s">
        <v>22</v>
      </c>
      <c r="E12" s="39" t="s">
        <v>23</v>
      </c>
      <c r="F12" s="39" t="s">
        <v>24</v>
      </c>
      <c r="G12" s="163"/>
    </row>
    <row r="13" spans="2:7" ht="42.75" customHeight="1" thickBot="1" x14ac:dyDescent="0.25">
      <c r="B13" s="145"/>
      <c r="C13" s="37" t="s">
        <v>25</v>
      </c>
      <c r="D13" s="164"/>
      <c r="E13" s="165"/>
      <c r="F13" s="166"/>
      <c r="G13" s="38"/>
    </row>
    <row r="14" spans="2:7" ht="50.25" customHeight="1" x14ac:dyDescent="0.2">
      <c r="B14" s="145"/>
      <c r="C14" s="37" t="s">
        <v>120</v>
      </c>
      <c r="D14" s="40"/>
      <c r="E14" s="41">
        <v>172</v>
      </c>
      <c r="F14" s="42"/>
      <c r="G14" s="150" t="s">
        <v>26</v>
      </c>
    </row>
    <row r="15" spans="2:7" ht="48.75" customHeight="1" x14ac:dyDescent="0.2">
      <c r="B15" s="145"/>
      <c r="C15" s="37" t="s">
        <v>122</v>
      </c>
      <c r="D15" s="43"/>
      <c r="E15" s="44">
        <v>465</v>
      </c>
      <c r="F15" s="45"/>
      <c r="G15" s="150"/>
    </row>
    <row r="16" spans="2:7" ht="47.25" customHeight="1" x14ac:dyDescent="0.2">
      <c r="B16" s="145"/>
      <c r="C16" s="37" t="s">
        <v>27</v>
      </c>
      <c r="D16" s="43"/>
      <c r="E16" s="44">
        <v>375</v>
      </c>
      <c r="F16" s="45"/>
      <c r="G16" s="150" t="s">
        <v>28</v>
      </c>
    </row>
    <row r="17" spans="2:7" ht="61.5" customHeight="1" thickBot="1" x14ac:dyDescent="0.25">
      <c r="B17" s="146"/>
      <c r="C17" s="37" t="s">
        <v>29</v>
      </c>
      <c r="D17" s="46"/>
      <c r="E17" s="47">
        <v>198</v>
      </c>
      <c r="F17" s="48"/>
      <c r="G17" s="150"/>
    </row>
    <row r="18" spans="2:7" ht="33.75" customHeight="1" thickBot="1" x14ac:dyDescent="0.25">
      <c r="B18" s="34"/>
      <c r="C18" s="49"/>
      <c r="D18" s="50" t="s">
        <v>30</v>
      </c>
      <c r="E18" s="167" t="s">
        <v>31</v>
      </c>
      <c r="F18" s="168"/>
      <c r="G18" s="51"/>
    </row>
    <row r="19" spans="2:7" ht="132" customHeight="1" thickBot="1" x14ac:dyDescent="0.25">
      <c r="B19" s="145" t="s">
        <v>32</v>
      </c>
      <c r="C19" s="52" t="s">
        <v>33</v>
      </c>
      <c r="D19" s="53">
        <f>D47*D48*4</f>
        <v>72</v>
      </c>
      <c r="E19" s="169" t="s">
        <v>34</v>
      </c>
      <c r="F19" s="170"/>
      <c r="G19" s="54" t="s">
        <v>35</v>
      </c>
    </row>
    <row r="20" spans="2:7" ht="31.5" customHeight="1" thickBot="1" x14ac:dyDescent="0.25">
      <c r="B20" s="145"/>
      <c r="C20" s="52"/>
      <c r="D20" s="50" t="s">
        <v>36</v>
      </c>
      <c r="E20" s="167" t="s">
        <v>37</v>
      </c>
      <c r="F20" s="168"/>
      <c r="G20" s="54"/>
    </row>
    <row r="21" spans="2:7" ht="116.25" customHeight="1" thickBot="1" x14ac:dyDescent="0.25">
      <c r="B21" s="145"/>
      <c r="C21" s="55" t="s">
        <v>38</v>
      </c>
      <c r="D21" s="56">
        <f>ROUND(200/D10,0)</f>
        <v>468</v>
      </c>
      <c r="E21" s="169" t="s">
        <v>39</v>
      </c>
      <c r="F21" s="170"/>
      <c r="G21" s="57" t="s">
        <v>40</v>
      </c>
    </row>
    <row r="22" spans="2:7" s="59" customFormat="1" ht="44.25" customHeight="1" thickBot="1" x14ac:dyDescent="0.25">
      <c r="B22" s="58" t="s">
        <v>41</v>
      </c>
      <c r="C22" s="157" t="s">
        <v>42</v>
      </c>
      <c r="D22" s="157"/>
      <c r="E22" s="157"/>
      <c r="F22" s="157"/>
      <c r="G22" s="158"/>
    </row>
    <row r="23" spans="2:7" ht="35.25" customHeight="1" x14ac:dyDescent="0.2"/>
    <row r="24" spans="2:7" ht="15.75" x14ac:dyDescent="0.2">
      <c r="C24" s="60" t="s">
        <v>43</v>
      </c>
      <c r="D24" s="172">
        <f>ROUND(0.8*$E$14,0)</f>
        <v>138</v>
      </c>
      <c r="E24" s="173"/>
      <c r="F24" s="174"/>
    </row>
    <row r="25" spans="2:7" ht="15.75" x14ac:dyDescent="0.2">
      <c r="C25" s="60" t="s">
        <v>44</v>
      </c>
      <c r="D25" s="172">
        <f>ROUND($E$15*1.2,0)-D24</f>
        <v>420</v>
      </c>
      <c r="E25" s="173"/>
      <c r="F25" s="174"/>
    </row>
    <row r="26" spans="2:7" ht="15.75" x14ac:dyDescent="0.2">
      <c r="C26" s="60" t="s">
        <v>45</v>
      </c>
      <c r="D26" s="175">
        <f>6*D47*D48</f>
        <v>108</v>
      </c>
      <c r="E26" s="176"/>
      <c r="F26" s="177"/>
    </row>
    <row r="27" spans="2:7" ht="15.75" x14ac:dyDescent="0.2">
      <c r="C27" s="60" t="s">
        <v>46</v>
      </c>
      <c r="D27" s="175">
        <f>D25</f>
        <v>420</v>
      </c>
      <c r="E27" s="176"/>
      <c r="F27" s="177"/>
    </row>
    <row r="28" spans="2:7" ht="12.75" customHeight="1" x14ac:dyDescent="0.2">
      <c r="C28" s="29"/>
      <c r="D28" s="61"/>
      <c r="E28" s="61"/>
    </row>
    <row r="29" spans="2:7" ht="12.75" customHeight="1" x14ac:dyDescent="0.2">
      <c r="C29" s="29"/>
      <c r="D29" s="61"/>
      <c r="E29" s="61"/>
    </row>
    <row r="30" spans="2:7" ht="18" customHeight="1" x14ac:dyDescent="0.2">
      <c r="C30" s="60" t="s">
        <v>47</v>
      </c>
      <c r="D30" s="178">
        <f>ROUND(SQRT(ABS('[1]Customer Worksheet'!$E$17-'[1]Customer Worksheet'!$E$16)/'[1]Customer Worksheet'!$D$10:$F$10*0.1),2)</f>
        <v>6.39</v>
      </c>
      <c r="E30" s="178"/>
      <c r="F30" s="178"/>
    </row>
    <row r="31" spans="2:7" ht="18" customHeight="1" x14ac:dyDescent="0.2">
      <c r="C31" s="60" t="s">
        <v>48</v>
      </c>
      <c r="D31" s="171">
        <f>DOF!K29</f>
        <v>150</v>
      </c>
      <c r="E31" s="171"/>
      <c r="F31" s="171"/>
    </row>
    <row r="32" spans="2:7" ht="24.75" customHeight="1" x14ac:dyDescent="0.2">
      <c r="C32" s="60" t="s">
        <v>49</v>
      </c>
      <c r="D32" s="171">
        <f>DOF!K28</f>
        <v>150</v>
      </c>
      <c r="E32" s="171"/>
      <c r="F32" s="171"/>
    </row>
    <row r="33" spans="3:6" ht="24.75" customHeight="1" x14ac:dyDescent="0.2">
      <c r="C33" s="60" t="s">
        <v>50</v>
      </c>
      <c r="D33" s="171">
        <f>DOF!K27</f>
        <v>182</v>
      </c>
      <c r="E33" s="171"/>
      <c r="F33" s="171"/>
    </row>
    <row r="34" spans="3:6" ht="24.75" customHeight="1" x14ac:dyDescent="0.2">
      <c r="C34" s="60" t="s">
        <v>51</v>
      </c>
      <c r="D34" s="171">
        <f>DOF!K26</f>
        <v>263</v>
      </c>
      <c r="E34" s="171"/>
      <c r="F34" s="171"/>
    </row>
    <row r="35" spans="3:6" ht="24.75" customHeight="1" x14ac:dyDescent="0.2">
      <c r="C35" s="60" t="s">
        <v>52</v>
      </c>
      <c r="D35" s="171">
        <f>DOF!K25</f>
        <v>322</v>
      </c>
      <c r="E35" s="171"/>
      <c r="F35" s="171"/>
    </row>
    <row r="36" spans="3:6" ht="24.75" customHeight="1" x14ac:dyDescent="0.2">
      <c r="C36" s="60" t="s">
        <v>53</v>
      </c>
      <c r="D36" s="171">
        <f>DOF!K24</f>
        <v>368</v>
      </c>
      <c r="E36" s="171"/>
      <c r="F36" s="171"/>
    </row>
    <row r="37" spans="3:6" ht="24.75" customHeight="1" x14ac:dyDescent="0.2">
      <c r="C37" s="60" t="s">
        <v>54</v>
      </c>
      <c r="D37" s="171">
        <f>DOF!K23</f>
        <v>390</v>
      </c>
      <c r="E37" s="171"/>
      <c r="F37" s="171"/>
    </row>
    <row r="38" spans="3:6" ht="24.75" customHeight="1" x14ac:dyDescent="0.2">
      <c r="C38" s="60" t="s">
        <v>55</v>
      </c>
      <c r="D38" s="171">
        <f>DOF!K22</f>
        <v>404</v>
      </c>
      <c r="E38" s="171"/>
      <c r="F38" s="171"/>
    </row>
    <row r="39" spans="3:6" ht="24.75" customHeight="1" x14ac:dyDescent="0.2">
      <c r="C39" s="60" t="s">
        <v>56</v>
      </c>
      <c r="D39" s="171">
        <f>DOF!K21</f>
        <v>413</v>
      </c>
      <c r="E39" s="171"/>
      <c r="F39" s="171"/>
    </row>
    <row r="40" spans="3:6" ht="24.75" customHeight="1" x14ac:dyDescent="0.2">
      <c r="C40" s="60" t="s">
        <v>57</v>
      </c>
      <c r="D40" s="171">
        <f>DOF!K20</f>
        <v>435</v>
      </c>
      <c r="E40" s="171"/>
      <c r="F40" s="171"/>
    </row>
    <row r="41" spans="3:6" ht="24.75" customHeight="1" x14ac:dyDescent="0.2">
      <c r="C41" s="60" t="s">
        <v>58</v>
      </c>
      <c r="D41" s="171">
        <f>DOF!K19</f>
        <v>419</v>
      </c>
      <c r="E41" s="171"/>
      <c r="F41" s="171"/>
    </row>
    <row r="42" spans="3:6" ht="24.75" customHeight="1" x14ac:dyDescent="0.2">
      <c r="C42" s="29"/>
      <c r="D42" s="29"/>
      <c r="E42" s="29"/>
      <c r="F42" s="29"/>
    </row>
    <row r="43" spans="3:6" ht="27.75" customHeight="1" x14ac:dyDescent="0.2">
      <c r="C43" s="60" t="s">
        <v>59</v>
      </c>
      <c r="D43" s="171">
        <f>DOF!K37</f>
        <v>457</v>
      </c>
      <c r="E43" s="171"/>
      <c r="F43" s="171"/>
    </row>
    <row r="44" spans="3:6" ht="12.75" customHeight="1" x14ac:dyDescent="0.2"/>
    <row r="45" spans="3:6" ht="12.75" customHeight="1" x14ac:dyDescent="0.2"/>
    <row r="46" spans="3:6" ht="23.25" customHeight="1" x14ac:dyDescent="0.2">
      <c r="C46" s="60" t="s">
        <v>60</v>
      </c>
      <c r="D46" s="179">
        <f>DOF!J3</f>
        <v>7.8581955813256172</v>
      </c>
      <c r="E46" s="179"/>
      <c r="F46" s="179"/>
    </row>
    <row r="47" spans="3:6" ht="28.5" customHeight="1" x14ac:dyDescent="0.2">
      <c r="C47" s="60" t="s">
        <v>61</v>
      </c>
      <c r="D47" s="179">
        <f>DOF!J4</f>
        <v>9</v>
      </c>
      <c r="E47" s="179"/>
      <c r="F47" s="179"/>
    </row>
    <row r="48" spans="3:6" ht="24" customHeight="1" x14ac:dyDescent="0.2">
      <c r="C48" s="60" t="s">
        <v>62</v>
      </c>
      <c r="D48" s="179">
        <f>DOF!F6</f>
        <v>2</v>
      </c>
      <c r="E48" s="179"/>
      <c r="F48" s="179"/>
    </row>
    <row r="49" spans="1:7" ht="12.75" customHeight="1" x14ac:dyDescent="0.2"/>
    <row r="50" spans="1:7" ht="12.75" customHeight="1" x14ac:dyDescent="0.2"/>
    <row r="51" spans="1:7" ht="21" customHeight="1" x14ac:dyDescent="0.2">
      <c r="C51" s="60" t="s">
        <v>63</v>
      </c>
      <c r="D51" s="171">
        <v>0</v>
      </c>
      <c r="E51" s="171"/>
      <c r="F51" s="171"/>
    </row>
    <row r="52" spans="1:7" ht="21" customHeight="1" x14ac:dyDescent="0.2">
      <c r="C52" s="60" t="s">
        <v>64</v>
      </c>
      <c r="D52" s="171">
        <f>D34</f>
        <v>263</v>
      </c>
      <c r="E52" s="171"/>
      <c r="F52" s="171"/>
    </row>
    <row r="53" spans="1:7" ht="21" customHeight="1" x14ac:dyDescent="0.2">
      <c r="C53" s="60" t="s">
        <v>65</v>
      </c>
      <c r="D53" s="171">
        <f>D38</f>
        <v>404</v>
      </c>
      <c r="E53" s="171"/>
      <c r="F53" s="171"/>
    </row>
    <row r="54" spans="1:7" ht="21" customHeight="1" x14ac:dyDescent="0.2">
      <c r="C54" s="60" t="s">
        <v>66</v>
      </c>
      <c r="D54" s="171">
        <f>D40</f>
        <v>435</v>
      </c>
      <c r="E54" s="171"/>
      <c r="F54" s="171"/>
    </row>
    <row r="55" spans="1:7" ht="21" customHeight="1" x14ac:dyDescent="0.2">
      <c r="C55" s="60" t="s">
        <v>67</v>
      </c>
      <c r="D55" s="171">
        <f>D41</f>
        <v>419</v>
      </c>
      <c r="E55" s="171"/>
      <c r="F55" s="171"/>
    </row>
    <row r="56" spans="1:7" ht="21" customHeight="1" x14ac:dyDescent="0.2">
      <c r="C56" s="60" t="s">
        <v>59</v>
      </c>
      <c r="D56" s="171">
        <f>D43</f>
        <v>457</v>
      </c>
      <c r="E56" s="171"/>
      <c r="F56" s="171"/>
    </row>
    <row r="57" spans="1:7" ht="21" customHeight="1" x14ac:dyDescent="0.2">
      <c r="C57" s="60" t="s">
        <v>68</v>
      </c>
      <c r="D57" s="171">
        <f>D35</f>
        <v>322</v>
      </c>
      <c r="E57" s="171"/>
      <c r="F57" s="171"/>
    </row>
    <row r="61" spans="1:7" ht="15.75" x14ac:dyDescent="0.25">
      <c r="A61" s="182" t="s">
        <v>69</v>
      </c>
      <c r="B61" s="182"/>
      <c r="C61" s="182"/>
      <c r="D61" s="182"/>
      <c r="E61" s="182"/>
      <c r="F61" s="182"/>
    </row>
    <row r="62" spans="1:7" ht="15.75" x14ac:dyDescent="0.25">
      <c r="A62" s="182" t="s">
        <v>70</v>
      </c>
      <c r="B62" s="182"/>
      <c r="C62" s="182"/>
      <c r="D62" s="182"/>
      <c r="E62" s="182"/>
      <c r="F62" s="182"/>
    </row>
    <row r="63" spans="1:7" x14ac:dyDescent="0.2">
      <c r="A63" s="62" t="s">
        <v>71</v>
      </c>
      <c r="B63" s="63">
        <v>10</v>
      </c>
      <c r="C63" s="64">
        <f>$D$47*4</f>
        <v>36</v>
      </c>
      <c r="D63" s="64">
        <f t="shared" ref="D63:F63" si="0">$D$47*4</f>
        <v>36</v>
      </c>
      <c r="E63" s="64">
        <f t="shared" si="0"/>
        <v>36</v>
      </c>
      <c r="F63" s="65">
        <f t="shared" si="0"/>
        <v>36</v>
      </c>
      <c r="G63" s="66" t="s">
        <v>72</v>
      </c>
    </row>
    <row r="64" spans="1:7" x14ac:dyDescent="0.2">
      <c r="A64" s="62" t="s">
        <v>71</v>
      </c>
      <c r="B64" s="67">
        <v>10</v>
      </c>
      <c r="C64" s="68">
        <f>C63</f>
        <v>36</v>
      </c>
      <c r="D64" s="69">
        <f>D63</f>
        <v>36</v>
      </c>
      <c r="E64" s="69">
        <f>E63</f>
        <v>36</v>
      </c>
      <c r="F64" s="70">
        <f>ROUND(1.5*F63,0)</f>
        <v>54</v>
      </c>
      <c r="G64" s="66" t="s">
        <v>73</v>
      </c>
    </row>
    <row r="65" spans="1:7" x14ac:dyDescent="0.2">
      <c r="A65" s="62" t="s">
        <v>71</v>
      </c>
      <c r="B65" s="67">
        <v>8</v>
      </c>
      <c r="C65" s="68">
        <f>$D$47</f>
        <v>9</v>
      </c>
      <c r="D65" s="68">
        <f t="shared" ref="D65:F66" si="1">$D$47</f>
        <v>9</v>
      </c>
      <c r="E65" s="68">
        <f t="shared" si="1"/>
        <v>9</v>
      </c>
      <c r="F65" s="71">
        <f t="shared" si="1"/>
        <v>9</v>
      </c>
      <c r="G65" s="66" t="s">
        <v>74</v>
      </c>
    </row>
    <row r="66" spans="1:7" x14ac:dyDescent="0.2">
      <c r="A66" s="62" t="s">
        <v>71</v>
      </c>
      <c r="B66" s="72">
        <v>8</v>
      </c>
      <c r="C66" s="73">
        <f>C65</f>
        <v>9</v>
      </c>
      <c r="D66" s="73">
        <f t="shared" si="1"/>
        <v>9</v>
      </c>
      <c r="E66" s="73">
        <f t="shared" si="1"/>
        <v>9</v>
      </c>
      <c r="F66" s="74">
        <f>ROUND(1.5*F65,0)</f>
        <v>14</v>
      </c>
      <c r="G66" s="66" t="s">
        <v>75</v>
      </c>
    </row>
    <row r="67" spans="1:7" ht="15.75" x14ac:dyDescent="0.25">
      <c r="A67" s="181" t="s">
        <v>76</v>
      </c>
      <c r="B67" s="181"/>
      <c r="C67" s="181"/>
      <c r="D67" s="181"/>
      <c r="E67" s="181"/>
      <c r="F67" s="181"/>
      <c r="G67" s="66"/>
    </row>
    <row r="68" spans="1:7" x14ac:dyDescent="0.2">
      <c r="A68" s="62" t="s">
        <v>71</v>
      </c>
      <c r="B68" s="63">
        <v>10</v>
      </c>
      <c r="C68" s="64">
        <f>$D$47*4</f>
        <v>36</v>
      </c>
      <c r="D68" s="64">
        <f t="shared" ref="D68:F68" si="2">$D$47*4</f>
        <v>36</v>
      </c>
      <c r="E68" s="64">
        <f t="shared" si="2"/>
        <v>36</v>
      </c>
      <c r="F68" s="65">
        <f t="shared" si="2"/>
        <v>36</v>
      </c>
      <c r="G68" s="66" t="s">
        <v>72</v>
      </c>
    </row>
    <row r="69" spans="1:7" x14ac:dyDescent="0.2">
      <c r="A69" s="62" t="s">
        <v>71</v>
      </c>
      <c r="B69" s="67">
        <v>10</v>
      </c>
      <c r="C69" s="68">
        <f>C68</f>
        <v>36</v>
      </c>
      <c r="D69" s="69">
        <f>D68</f>
        <v>36</v>
      </c>
      <c r="E69" s="69">
        <f>E68</f>
        <v>36</v>
      </c>
      <c r="F69" s="70">
        <f>ROUND(1.5*F68,0)</f>
        <v>54</v>
      </c>
      <c r="G69" s="66" t="s">
        <v>73</v>
      </c>
    </row>
    <row r="70" spans="1:7" x14ac:dyDescent="0.2">
      <c r="A70" s="62" t="s">
        <v>71</v>
      </c>
      <c r="B70" s="67">
        <v>8</v>
      </c>
      <c r="C70" s="68">
        <f>$D$47</f>
        <v>9</v>
      </c>
      <c r="D70" s="68">
        <f t="shared" ref="D70:F71" si="3">$D$47</f>
        <v>9</v>
      </c>
      <c r="E70" s="68">
        <f t="shared" si="3"/>
        <v>9</v>
      </c>
      <c r="F70" s="71">
        <f t="shared" si="3"/>
        <v>9</v>
      </c>
      <c r="G70" s="66" t="s">
        <v>74</v>
      </c>
    </row>
    <row r="71" spans="1:7" x14ac:dyDescent="0.2">
      <c r="A71" s="62" t="s">
        <v>71</v>
      </c>
      <c r="B71" s="72">
        <v>8</v>
      </c>
      <c r="C71" s="73">
        <f>C70</f>
        <v>9</v>
      </c>
      <c r="D71" s="73">
        <f t="shared" si="3"/>
        <v>9</v>
      </c>
      <c r="E71" s="73">
        <f t="shared" si="3"/>
        <v>9</v>
      </c>
      <c r="F71" s="74">
        <f>ROUND(1.5*F70,0)</f>
        <v>14</v>
      </c>
      <c r="G71" s="66" t="s">
        <v>75</v>
      </c>
    </row>
    <row r="72" spans="1:7" x14ac:dyDescent="0.2">
      <c r="B72" s="31"/>
      <c r="C72" s="75"/>
      <c r="G72" s="66"/>
    </row>
    <row r="73" spans="1:7" ht="15.75" x14ac:dyDescent="0.25">
      <c r="A73" s="180" t="s">
        <v>77</v>
      </c>
      <c r="B73" s="180"/>
      <c r="C73" s="180"/>
      <c r="D73" s="180"/>
      <c r="E73" s="180"/>
      <c r="F73" s="180"/>
      <c r="G73" s="66"/>
    </row>
    <row r="74" spans="1:7" ht="15.75" x14ac:dyDescent="0.25">
      <c r="A74" s="181" t="s">
        <v>70</v>
      </c>
      <c r="B74" s="181"/>
      <c r="C74" s="181"/>
      <c r="D74" s="181"/>
      <c r="E74" s="181"/>
      <c r="F74" s="181"/>
      <c r="G74" s="66"/>
    </row>
    <row r="75" spans="1:7" x14ac:dyDescent="0.2">
      <c r="A75" s="62" t="s">
        <v>71</v>
      </c>
      <c r="B75" s="63">
        <v>10</v>
      </c>
      <c r="C75" s="64">
        <f>$D$47*2</f>
        <v>18</v>
      </c>
      <c r="D75" s="64">
        <f t="shared" ref="D75:F75" si="4">$D$47*2</f>
        <v>18</v>
      </c>
      <c r="E75" s="64">
        <f t="shared" si="4"/>
        <v>18</v>
      </c>
      <c r="F75" s="65">
        <f t="shared" si="4"/>
        <v>18</v>
      </c>
      <c r="G75" s="66" t="s">
        <v>72</v>
      </c>
    </row>
    <row r="76" spans="1:7" x14ac:dyDescent="0.2">
      <c r="A76" s="62" t="s">
        <v>71</v>
      </c>
      <c r="B76" s="67">
        <v>10</v>
      </c>
      <c r="C76" s="68">
        <f>C75</f>
        <v>18</v>
      </c>
      <c r="D76" s="69">
        <f>D75</f>
        <v>18</v>
      </c>
      <c r="E76" s="69">
        <f>E75</f>
        <v>18</v>
      </c>
      <c r="F76" s="70">
        <f>ROUND(1.5*F75,0)</f>
        <v>27</v>
      </c>
      <c r="G76" s="66" t="s">
        <v>73</v>
      </c>
    </row>
    <row r="77" spans="1:7" x14ac:dyDescent="0.2">
      <c r="A77" s="62" t="s">
        <v>71</v>
      </c>
      <c r="B77" s="67">
        <v>8</v>
      </c>
      <c r="C77" s="68">
        <f>$D$47</f>
        <v>9</v>
      </c>
      <c r="D77" s="68">
        <f t="shared" ref="D77:F78" si="5">$D$47</f>
        <v>9</v>
      </c>
      <c r="E77" s="68">
        <f t="shared" si="5"/>
        <v>9</v>
      </c>
      <c r="F77" s="71">
        <f t="shared" si="5"/>
        <v>9</v>
      </c>
      <c r="G77" s="66" t="s">
        <v>74</v>
      </c>
    </row>
    <row r="78" spans="1:7" x14ac:dyDescent="0.2">
      <c r="A78" s="62" t="s">
        <v>71</v>
      </c>
      <c r="B78" s="72">
        <v>8</v>
      </c>
      <c r="C78" s="73">
        <f>C77</f>
        <v>9</v>
      </c>
      <c r="D78" s="73">
        <f t="shared" si="5"/>
        <v>9</v>
      </c>
      <c r="E78" s="73">
        <f t="shared" si="5"/>
        <v>9</v>
      </c>
      <c r="F78" s="74">
        <f>ROUND(1.5*F77,0)</f>
        <v>14</v>
      </c>
      <c r="G78" s="66" t="s">
        <v>75</v>
      </c>
    </row>
    <row r="79" spans="1:7" ht="15.75" x14ac:dyDescent="0.25">
      <c r="A79" s="181" t="s">
        <v>76</v>
      </c>
      <c r="B79" s="181"/>
      <c r="C79" s="181"/>
      <c r="D79" s="181"/>
      <c r="E79" s="181"/>
      <c r="F79" s="181"/>
      <c r="G79" s="66"/>
    </row>
    <row r="80" spans="1:7" x14ac:dyDescent="0.2">
      <c r="A80" s="62" t="s">
        <v>71</v>
      </c>
      <c r="B80" s="63">
        <v>10</v>
      </c>
      <c r="C80" s="64">
        <f>$D$47*2</f>
        <v>18</v>
      </c>
      <c r="D80" s="64">
        <f t="shared" ref="D80:F80" si="6">$D$47*2</f>
        <v>18</v>
      </c>
      <c r="E80" s="64">
        <f t="shared" si="6"/>
        <v>18</v>
      </c>
      <c r="F80" s="65">
        <f t="shared" si="6"/>
        <v>18</v>
      </c>
      <c r="G80" s="66" t="s">
        <v>72</v>
      </c>
    </row>
    <row r="81" spans="1:7" x14ac:dyDescent="0.2">
      <c r="A81" s="62" t="s">
        <v>71</v>
      </c>
      <c r="B81" s="67">
        <v>10</v>
      </c>
      <c r="C81" s="68">
        <f>C80</f>
        <v>18</v>
      </c>
      <c r="D81" s="69">
        <f>D80</f>
        <v>18</v>
      </c>
      <c r="E81" s="69">
        <f>E80</f>
        <v>18</v>
      </c>
      <c r="F81" s="70">
        <f>ROUND(1.5*F80,0)</f>
        <v>27</v>
      </c>
      <c r="G81" s="66" t="s">
        <v>73</v>
      </c>
    </row>
    <row r="82" spans="1:7" x14ac:dyDescent="0.2">
      <c r="A82" s="62" t="s">
        <v>71</v>
      </c>
      <c r="B82" s="67">
        <v>8</v>
      </c>
      <c r="C82" s="68">
        <f>$D$47</f>
        <v>9</v>
      </c>
      <c r="D82" s="68">
        <f t="shared" ref="D82:F83" si="7">$D$47</f>
        <v>9</v>
      </c>
      <c r="E82" s="68">
        <f t="shared" si="7"/>
        <v>9</v>
      </c>
      <c r="F82" s="71">
        <f t="shared" si="7"/>
        <v>9</v>
      </c>
      <c r="G82" s="66" t="s">
        <v>74</v>
      </c>
    </row>
    <row r="83" spans="1:7" x14ac:dyDescent="0.2">
      <c r="A83" s="62" t="s">
        <v>71</v>
      </c>
      <c r="B83" s="72">
        <v>8</v>
      </c>
      <c r="C83" s="73">
        <f>C82</f>
        <v>9</v>
      </c>
      <c r="D83" s="73">
        <f t="shared" si="7"/>
        <v>9</v>
      </c>
      <c r="E83" s="73">
        <f t="shared" si="7"/>
        <v>9</v>
      </c>
      <c r="F83" s="74">
        <f>ROUND(1.5*F82,0)</f>
        <v>14</v>
      </c>
      <c r="G83" s="66" t="s">
        <v>75</v>
      </c>
    </row>
  </sheetData>
  <mergeCells count="54">
    <mergeCell ref="A73:F73"/>
    <mergeCell ref="A74:F74"/>
    <mergeCell ref="A79:F79"/>
    <mergeCell ref="D55:F55"/>
    <mergeCell ref="D56:F56"/>
    <mergeCell ref="D57:F57"/>
    <mergeCell ref="A61:F61"/>
    <mergeCell ref="A62:F62"/>
    <mergeCell ref="A67:F67"/>
    <mergeCell ref="D54:F54"/>
    <mergeCell ref="D38:F38"/>
    <mergeCell ref="D39:F39"/>
    <mergeCell ref="D40:F40"/>
    <mergeCell ref="D41:F41"/>
    <mergeCell ref="D43:F43"/>
    <mergeCell ref="D46:F46"/>
    <mergeCell ref="D47:F47"/>
    <mergeCell ref="D48:F48"/>
    <mergeCell ref="D51:F51"/>
    <mergeCell ref="D52:F52"/>
    <mergeCell ref="D53:F53"/>
    <mergeCell ref="D37:F37"/>
    <mergeCell ref="D24:F24"/>
    <mergeCell ref="D25:F25"/>
    <mergeCell ref="D26:F26"/>
    <mergeCell ref="D27:F27"/>
    <mergeCell ref="D30:F30"/>
    <mergeCell ref="D31:F31"/>
    <mergeCell ref="D32:F32"/>
    <mergeCell ref="D33:F33"/>
    <mergeCell ref="D34:F34"/>
    <mergeCell ref="D35:F35"/>
    <mergeCell ref="D36:F36"/>
    <mergeCell ref="C22:G22"/>
    <mergeCell ref="B9:B11"/>
    <mergeCell ref="D10:F10"/>
    <mergeCell ref="G10:G12"/>
    <mergeCell ref="B12:B17"/>
    <mergeCell ref="D13:F13"/>
    <mergeCell ref="G14:G15"/>
    <mergeCell ref="G16:G17"/>
    <mergeCell ref="E18:F18"/>
    <mergeCell ref="B19:B21"/>
    <mergeCell ref="E19:F19"/>
    <mergeCell ref="E20:F20"/>
    <mergeCell ref="E21:F21"/>
    <mergeCell ref="C2:F2"/>
    <mergeCell ref="D4:F4"/>
    <mergeCell ref="B5:B8"/>
    <mergeCell ref="D5:F5"/>
    <mergeCell ref="G5:G7"/>
    <mergeCell ref="D6:F6"/>
    <mergeCell ref="D7:F7"/>
    <mergeCell ref="D8:F8"/>
  </mergeCells>
  <phoneticPr fontId="37" type="noConversion"/>
  <pageMargins left="0.7" right="0.7" top="0.75" bottom="0.75" header="0.3" footer="0.3"/>
  <pageSetup scale="52" fitToHeight="0" orientation="portrait" r:id="rId1"/>
  <headerFooter>
    <oddFooter>&amp;L80-NN841-1 A&amp;CMAY CONTAIN U.S. AND INTERNATIONAL EXPORT CONTROLLED INFORMATION&amp;RConfidential and Proprietary – Qualcomm Technologies, Inc.</oddFooter>
  </headerFooter>
  <rowBreaks count="1" manualBreakCount="1">
    <brk id="59"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1:K79"/>
  <sheetViews>
    <sheetView topLeftCell="A22" zoomScaleNormal="100" workbookViewId="0">
      <selection activeCell="C41" sqref="C41"/>
    </sheetView>
  </sheetViews>
  <sheetFormatPr defaultRowHeight="12.75" x14ac:dyDescent="0.2"/>
  <cols>
    <col min="1" max="1" width="9.140625" style="76"/>
    <col min="2" max="2" width="15" style="76" bestFit="1" customWidth="1"/>
    <col min="3" max="3" width="20.42578125" style="76" customWidth="1"/>
    <col min="4" max="4" width="10.140625" style="76" bestFit="1" customWidth="1"/>
    <col min="5" max="5" width="16.85546875" style="76" bestFit="1" customWidth="1"/>
    <col min="6" max="6" width="12.5703125" style="76" bestFit="1" customWidth="1"/>
    <col min="7" max="7" width="33.5703125" style="76" customWidth="1"/>
    <col min="8" max="8" width="27.5703125" style="76" customWidth="1"/>
    <col min="9" max="9" width="48.7109375" style="76" customWidth="1"/>
    <col min="10" max="12" width="9.140625" style="76"/>
    <col min="13" max="13" width="28.140625" style="76" customWidth="1"/>
    <col min="14" max="16384" width="9.140625" style="76"/>
  </cols>
  <sheetData>
    <row r="1" spans="2:10" ht="13.5" thickBot="1" x14ac:dyDescent="0.25"/>
    <row r="2" spans="2:10" ht="15" thickBot="1" x14ac:dyDescent="0.25">
      <c r="B2" s="189" t="s">
        <v>78</v>
      </c>
      <c r="C2" s="192"/>
      <c r="D2" s="193"/>
      <c r="E2" s="183" t="s">
        <v>79</v>
      </c>
      <c r="F2" s="184"/>
      <c r="G2" s="183"/>
      <c r="H2" s="184"/>
      <c r="I2" s="183"/>
      <c r="J2" s="184"/>
    </row>
    <row r="3" spans="2:10" ht="15" thickBot="1" x14ac:dyDescent="0.25">
      <c r="B3" s="190"/>
      <c r="C3" s="77" t="s">
        <v>80</v>
      </c>
      <c r="D3" s="78">
        <f>'Customer Worksheet'!D5:F5</f>
        <v>3.37</v>
      </c>
      <c r="E3" s="79" t="s">
        <v>81</v>
      </c>
      <c r="F3" s="80" t="s">
        <v>82</v>
      </c>
      <c r="G3" s="81" t="s">
        <v>83</v>
      </c>
      <c r="H3" s="78">
        <f>'Customer Worksheet'!D24</f>
        <v>138</v>
      </c>
      <c r="I3" s="82" t="s">
        <v>84</v>
      </c>
      <c r="J3" s="83">
        <f>0.1*D$3*D$6/(D$6-D$3*0.1)*10000-D$3*1000</f>
        <v>7.8581955813256172</v>
      </c>
    </row>
    <row r="4" spans="2:10" ht="15" thickBot="1" x14ac:dyDescent="0.25">
      <c r="B4" s="190"/>
      <c r="C4" s="77" t="s">
        <v>16</v>
      </c>
      <c r="D4" s="78">
        <f>'Customer Worksheet'!D6:F6</f>
        <v>2.8</v>
      </c>
      <c r="E4" s="79" t="s">
        <v>85</v>
      </c>
      <c r="F4" s="80" t="s">
        <v>86</v>
      </c>
      <c r="G4" s="81" t="s">
        <v>87</v>
      </c>
      <c r="H4" s="78">
        <f>'Customer Worksheet'!D25</f>
        <v>420</v>
      </c>
      <c r="I4" s="82" t="s">
        <v>88</v>
      </c>
      <c r="J4" s="84">
        <f>_xlfn.FLOOR.PRECISE(J3/F5/F6,1)</f>
        <v>9</v>
      </c>
    </row>
    <row r="5" spans="2:10" ht="15" thickBot="1" x14ac:dyDescent="0.25">
      <c r="B5" s="190"/>
      <c r="C5" s="77" t="s">
        <v>89</v>
      </c>
      <c r="D5" s="78">
        <f>'Customer Worksheet'!D7:F7</f>
        <v>1.4</v>
      </c>
      <c r="E5" s="79" t="s">
        <v>90</v>
      </c>
      <c r="F5" s="85">
        <f>'Customer Worksheet'!D10</f>
        <v>0.42699999999999999</v>
      </c>
      <c r="G5" s="82" t="s">
        <v>67</v>
      </c>
      <c r="H5" s="86">
        <f>H4-1</f>
        <v>419</v>
      </c>
      <c r="I5" s="82" t="s">
        <v>91</v>
      </c>
      <c r="J5" s="87">
        <f>4*J4</f>
        <v>36</v>
      </c>
    </row>
    <row r="6" spans="2:10" ht="15" thickBot="1" x14ac:dyDescent="0.25">
      <c r="B6" s="191"/>
      <c r="C6" s="88" t="s">
        <v>92</v>
      </c>
      <c r="D6" s="89">
        <f>ROUND(D3^2/(D4*((2*D5))),4)*100</f>
        <v>144.86000000000001</v>
      </c>
      <c r="E6" s="88" t="s">
        <v>62</v>
      </c>
      <c r="F6" s="86">
        <f>ROUND(1/F5,0)</f>
        <v>2</v>
      </c>
      <c r="G6" s="82" t="s">
        <v>93</v>
      </c>
      <c r="H6" s="83"/>
      <c r="I6" s="82" t="s">
        <v>94</v>
      </c>
      <c r="J6" s="87">
        <f>ROUND(J5*1.5,0)</f>
        <v>54</v>
      </c>
    </row>
    <row r="15" spans="2:10" x14ac:dyDescent="0.2">
      <c r="G15" s="90"/>
    </row>
    <row r="17" spans="2:11" ht="15" thickBot="1" x14ac:dyDescent="0.25">
      <c r="C17" s="91" t="s">
        <v>95</v>
      </c>
      <c r="D17" s="91"/>
      <c r="E17" s="91"/>
    </row>
    <row r="18" spans="2:11" ht="14.25" x14ac:dyDescent="0.2">
      <c r="B18" s="92" t="s">
        <v>96</v>
      </c>
      <c r="C18" s="93" t="s">
        <v>97</v>
      </c>
      <c r="D18" s="185" t="s">
        <v>98</v>
      </c>
      <c r="E18" s="186"/>
      <c r="F18" s="187" t="s">
        <v>99</v>
      </c>
      <c r="G18" s="187" t="s">
        <v>100</v>
      </c>
    </row>
    <row r="19" spans="2:11" ht="26.25" thickBot="1" x14ac:dyDescent="0.4">
      <c r="B19" s="94" t="s">
        <v>101</v>
      </c>
      <c r="C19" s="95" t="s">
        <v>102</v>
      </c>
      <c r="D19" s="96" t="s">
        <v>103</v>
      </c>
      <c r="E19" s="97" t="s">
        <v>104</v>
      </c>
      <c r="F19" s="188"/>
      <c r="G19" s="188"/>
      <c r="I19" s="98" t="s">
        <v>105</v>
      </c>
      <c r="K19" s="99">
        <f>IF(H6=0,H5,H6)</f>
        <v>419</v>
      </c>
    </row>
    <row r="20" spans="2:11" ht="25.5" x14ac:dyDescent="0.35">
      <c r="B20" s="100">
        <v>7</v>
      </c>
      <c r="C20" s="101">
        <f t="shared" ref="C20:C77" si="0">$D$3^2/(B20*10-$D$3)*1000</f>
        <v>170.44724598529194</v>
      </c>
      <c r="D20" s="102">
        <f t="shared" ref="D20:D77" si="1">ROUND(MID($D$6,1,6)*B20/(MID($D$6,1,6)+(B20-$D$3*0.1)),2)</f>
        <v>6.69</v>
      </c>
      <c r="E20" s="103">
        <f t="shared" ref="E20:E77" si="2">ROUND(MID($D$6,1,6)*B20/(MID($D$6,1,6)-(B20-$D$3*0.1)),2)</f>
        <v>7.34</v>
      </c>
      <c r="F20" s="104">
        <f>ROUND($F$23+(C20-$C$23)/$F$5,0)</f>
        <v>499</v>
      </c>
      <c r="G20" s="105">
        <f>H$5-(F20-H$3)</f>
        <v>58</v>
      </c>
      <c r="I20" s="98" t="s">
        <v>106</v>
      </c>
      <c r="K20" s="99">
        <f>G39</f>
        <v>435</v>
      </c>
    </row>
    <row r="21" spans="2:11" ht="25.5" x14ac:dyDescent="0.35">
      <c r="B21" s="106">
        <v>8</v>
      </c>
      <c r="C21" s="107">
        <f t="shared" si="0"/>
        <v>148.20435860628999</v>
      </c>
      <c r="D21" s="108">
        <f t="shared" si="1"/>
        <v>7.6</v>
      </c>
      <c r="E21" s="109">
        <f t="shared" si="2"/>
        <v>8.4499999999999993</v>
      </c>
      <c r="F21" s="104">
        <f t="shared" ref="F21:F22" si="3">ROUND($F$23+(C21-$C$23)/$F$5,0)</f>
        <v>447</v>
      </c>
      <c r="G21" s="105">
        <f t="shared" ref="G21:G79" si="4">H$5-(F21-H$3)</f>
        <v>110</v>
      </c>
      <c r="I21" s="98" t="s">
        <v>107</v>
      </c>
      <c r="K21" s="99">
        <f>G33</f>
        <v>413</v>
      </c>
    </row>
    <row r="22" spans="2:11" ht="25.5" x14ac:dyDescent="0.35">
      <c r="B22" s="110">
        <v>9</v>
      </c>
      <c r="C22" s="111">
        <f t="shared" si="0"/>
        <v>131.09661779983841</v>
      </c>
      <c r="D22" s="112">
        <f t="shared" si="1"/>
        <v>8.49</v>
      </c>
      <c r="E22" s="113">
        <f t="shared" si="2"/>
        <v>9.57</v>
      </c>
      <c r="F22" s="104">
        <f t="shared" si="3"/>
        <v>407</v>
      </c>
      <c r="G22" s="105">
        <f t="shared" si="4"/>
        <v>150</v>
      </c>
      <c r="I22" s="98" t="s">
        <v>108</v>
      </c>
      <c r="K22" s="99">
        <f>G32</f>
        <v>404</v>
      </c>
    </row>
    <row r="23" spans="2:11" ht="25.5" x14ac:dyDescent="0.35">
      <c r="B23" s="114">
        <v>10</v>
      </c>
      <c r="C23" s="115">
        <f t="shared" si="0"/>
        <v>117.52975266480391</v>
      </c>
      <c r="D23" s="116">
        <f t="shared" si="1"/>
        <v>9.3699999999999992</v>
      </c>
      <c r="E23" s="117">
        <f t="shared" si="2"/>
        <v>10.71</v>
      </c>
      <c r="F23" s="118">
        <f>'Customer Worksheet'!E16</f>
        <v>375</v>
      </c>
      <c r="G23" s="119">
        <f t="shared" si="4"/>
        <v>182</v>
      </c>
      <c r="I23" s="98" t="s">
        <v>109</v>
      </c>
      <c r="K23" s="99">
        <f>G31</f>
        <v>390</v>
      </c>
    </row>
    <row r="24" spans="2:11" ht="25.5" x14ac:dyDescent="0.35">
      <c r="B24" s="110">
        <v>11</v>
      </c>
      <c r="C24" s="120">
        <f t="shared" si="0"/>
        <v>106.50754947013037</v>
      </c>
      <c r="D24" s="112">
        <f t="shared" si="1"/>
        <v>10.25</v>
      </c>
      <c r="E24" s="113">
        <f t="shared" si="2"/>
        <v>11.87</v>
      </c>
      <c r="F24" s="104">
        <f>ROUND($F$23+(C24-$C$23)/$F$5,0)</f>
        <v>349</v>
      </c>
      <c r="G24" s="105">
        <f t="shared" si="4"/>
        <v>208</v>
      </c>
      <c r="I24" s="98" t="s">
        <v>110</v>
      </c>
      <c r="K24" s="99">
        <f>G30</f>
        <v>368</v>
      </c>
    </row>
    <row r="25" spans="2:11" ht="25.5" x14ac:dyDescent="0.35">
      <c r="B25" s="110">
        <v>12</v>
      </c>
      <c r="C25" s="120">
        <f t="shared" si="0"/>
        <v>97.375460859127173</v>
      </c>
      <c r="D25" s="112">
        <f t="shared" si="1"/>
        <v>11.11</v>
      </c>
      <c r="E25" s="113">
        <f t="shared" si="2"/>
        <v>13.05</v>
      </c>
      <c r="F25" s="104">
        <f t="shared" ref="F25:F79" si="5">ROUND($F$23+(C25-$C$23)/$F$5,0)</f>
        <v>328</v>
      </c>
      <c r="G25" s="105">
        <f t="shared" si="4"/>
        <v>229</v>
      </c>
      <c r="I25" s="98" t="s">
        <v>111</v>
      </c>
      <c r="K25" s="99">
        <f>G29</f>
        <v>322</v>
      </c>
    </row>
    <row r="26" spans="2:11" ht="25.5" x14ac:dyDescent="0.35">
      <c r="B26" s="110">
        <v>13</v>
      </c>
      <c r="C26" s="120">
        <f t="shared" si="0"/>
        <v>89.68569849166866</v>
      </c>
      <c r="D26" s="112">
        <f t="shared" si="1"/>
        <v>11.95</v>
      </c>
      <c r="E26" s="113">
        <f t="shared" si="2"/>
        <v>14.25</v>
      </c>
      <c r="F26" s="104">
        <f t="shared" si="5"/>
        <v>310</v>
      </c>
      <c r="G26" s="105">
        <f t="shared" si="4"/>
        <v>247</v>
      </c>
      <c r="I26" s="98" t="s">
        <v>112</v>
      </c>
      <c r="K26" s="99">
        <f>G27</f>
        <v>263</v>
      </c>
    </row>
    <row r="27" spans="2:11" ht="25.5" x14ac:dyDescent="0.35">
      <c r="B27" s="110">
        <v>14</v>
      </c>
      <c r="C27" s="120">
        <f t="shared" si="0"/>
        <v>83.121569201493088</v>
      </c>
      <c r="D27" s="112">
        <f t="shared" si="1"/>
        <v>12.79</v>
      </c>
      <c r="E27" s="113">
        <f t="shared" si="2"/>
        <v>15.46</v>
      </c>
      <c r="F27" s="104">
        <f t="shared" si="5"/>
        <v>294</v>
      </c>
      <c r="G27" s="105">
        <f t="shared" si="4"/>
        <v>263</v>
      </c>
      <c r="I27" s="98" t="s">
        <v>113</v>
      </c>
      <c r="K27" s="99">
        <f>G23</f>
        <v>182</v>
      </c>
    </row>
    <row r="28" spans="2:11" ht="25.5" x14ac:dyDescent="0.35">
      <c r="B28" s="110">
        <v>15</v>
      </c>
      <c r="C28" s="120">
        <f t="shared" si="0"/>
        <v>77.452772283980096</v>
      </c>
      <c r="D28" s="112">
        <f t="shared" si="1"/>
        <v>13.62</v>
      </c>
      <c r="E28" s="113">
        <f t="shared" si="2"/>
        <v>16.690000000000001</v>
      </c>
      <c r="F28" s="104">
        <f t="shared" si="5"/>
        <v>281</v>
      </c>
      <c r="G28" s="105">
        <f t="shared" si="4"/>
        <v>276</v>
      </c>
      <c r="I28" s="98" t="s">
        <v>114</v>
      </c>
      <c r="K28" s="99">
        <f>G22</f>
        <v>150</v>
      </c>
    </row>
    <row r="29" spans="2:11" ht="25.5" x14ac:dyDescent="0.35">
      <c r="B29" s="110">
        <v>20</v>
      </c>
      <c r="C29" s="121">
        <f t="shared" si="0"/>
        <v>57.757717540558417</v>
      </c>
      <c r="D29" s="112">
        <f t="shared" si="1"/>
        <v>17.61</v>
      </c>
      <c r="E29" s="113">
        <f t="shared" si="2"/>
        <v>23.14</v>
      </c>
      <c r="F29" s="104">
        <f t="shared" si="5"/>
        <v>235</v>
      </c>
      <c r="G29" s="105">
        <f t="shared" si="4"/>
        <v>322</v>
      </c>
      <c r="I29" s="98" t="s">
        <v>115</v>
      </c>
      <c r="K29" s="99">
        <f>G22</f>
        <v>150</v>
      </c>
    </row>
    <row r="30" spans="2:11" ht="14.25" x14ac:dyDescent="0.2">
      <c r="B30" s="110">
        <v>30</v>
      </c>
      <c r="C30" s="122">
        <f t="shared" si="0"/>
        <v>38.286417422378051</v>
      </c>
      <c r="D30" s="112">
        <f t="shared" si="1"/>
        <v>24.9</v>
      </c>
      <c r="E30" s="113">
        <f t="shared" si="2"/>
        <v>37.72</v>
      </c>
      <c r="F30" s="104">
        <f t="shared" si="5"/>
        <v>189</v>
      </c>
      <c r="G30" s="105">
        <f t="shared" si="4"/>
        <v>368</v>
      </c>
      <c r="K30" s="90"/>
    </row>
    <row r="31" spans="2:11" ht="25.5" x14ac:dyDescent="0.35">
      <c r="B31" s="123">
        <v>40</v>
      </c>
      <c r="C31" s="120">
        <f t="shared" si="0"/>
        <v>28.633487129062352</v>
      </c>
      <c r="D31" s="124">
        <f t="shared" si="1"/>
        <v>31.4</v>
      </c>
      <c r="E31" s="125">
        <f t="shared" si="2"/>
        <v>55.08</v>
      </c>
      <c r="F31" s="104">
        <f t="shared" si="5"/>
        <v>167</v>
      </c>
      <c r="G31" s="105">
        <f t="shared" si="4"/>
        <v>390</v>
      </c>
      <c r="I31" s="98"/>
      <c r="K31" s="90"/>
    </row>
    <row r="32" spans="2:11" ht="25.5" x14ac:dyDescent="0.35">
      <c r="B32" s="110">
        <v>50</v>
      </c>
      <c r="C32" s="122">
        <f t="shared" si="0"/>
        <v>22.867929847169925</v>
      </c>
      <c r="D32" s="112">
        <f t="shared" si="1"/>
        <v>37.229999999999997</v>
      </c>
      <c r="E32" s="113">
        <f t="shared" si="2"/>
        <v>76.08</v>
      </c>
      <c r="F32" s="104">
        <f t="shared" si="5"/>
        <v>153</v>
      </c>
      <c r="G32" s="105">
        <f t="shared" si="4"/>
        <v>404</v>
      </c>
      <c r="I32" s="98" t="s">
        <v>63</v>
      </c>
      <c r="K32" s="99">
        <v>0</v>
      </c>
    </row>
    <row r="33" spans="2:11" ht="25.5" x14ac:dyDescent="0.35">
      <c r="B33" s="123">
        <f t="shared" ref="B33:B77" si="6">B32+10</f>
        <v>60</v>
      </c>
      <c r="C33" s="126">
        <f t="shared" si="0"/>
        <v>19.035080368067312</v>
      </c>
      <c r="D33" s="124">
        <f t="shared" si="1"/>
        <v>42.5</v>
      </c>
      <c r="E33" s="125">
        <f t="shared" si="2"/>
        <v>102.02</v>
      </c>
      <c r="F33" s="104">
        <f t="shared" si="5"/>
        <v>144</v>
      </c>
      <c r="G33" s="105">
        <f t="shared" si="4"/>
        <v>413</v>
      </c>
      <c r="I33" s="98" t="s">
        <v>64</v>
      </c>
      <c r="K33" s="99">
        <f>G23</f>
        <v>182</v>
      </c>
    </row>
    <row r="34" spans="2:11" ht="25.5" x14ac:dyDescent="0.35">
      <c r="B34" s="110">
        <f t="shared" si="6"/>
        <v>70</v>
      </c>
      <c r="C34" s="111">
        <f t="shared" si="0"/>
        <v>16.302628368000232</v>
      </c>
      <c r="D34" s="112">
        <f t="shared" si="1"/>
        <v>47.27</v>
      </c>
      <c r="E34" s="113">
        <f t="shared" si="2"/>
        <v>134.85</v>
      </c>
      <c r="F34" s="104">
        <f t="shared" si="5"/>
        <v>138</v>
      </c>
      <c r="G34" s="105">
        <f t="shared" si="4"/>
        <v>419</v>
      </c>
      <c r="I34" s="98" t="s">
        <v>65</v>
      </c>
      <c r="K34" s="99">
        <f>G32</f>
        <v>404</v>
      </c>
    </row>
    <row r="35" spans="2:11" ht="25.5" x14ac:dyDescent="0.35">
      <c r="B35" s="127">
        <f t="shared" si="6"/>
        <v>80</v>
      </c>
      <c r="C35" s="128">
        <f t="shared" si="0"/>
        <v>14.25617915468913</v>
      </c>
      <c r="D35" s="129">
        <f t="shared" si="1"/>
        <v>51.62</v>
      </c>
      <c r="E35" s="130">
        <f t="shared" si="2"/>
        <v>177.75</v>
      </c>
      <c r="F35" s="104">
        <f t="shared" si="5"/>
        <v>133</v>
      </c>
      <c r="G35" s="105">
        <f t="shared" si="4"/>
        <v>424</v>
      </c>
      <c r="I35" s="98" t="s">
        <v>66</v>
      </c>
      <c r="K35" s="99">
        <f>G39</f>
        <v>435</v>
      </c>
    </row>
    <row r="36" spans="2:11" ht="25.5" x14ac:dyDescent="0.35">
      <c r="B36" s="110">
        <f t="shared" si="6"/>
        <v>90</v>
      </c>
      <c r="C36" s="111">
        <f t="shared" si="0"/>
        <v>12.666205681273214</v>
      </c>
      <c r="D36" s="112">
        <f t="shared" si="1"/>
        <v>55.59</v>
      </c>
      <c r="E36" s="113">
        <f t="shared" si="2"/>
        <v>236.2</v>
      </c>
      <c r="F36" s="104">
        <f t="shared" si="5"/>
        <v>129</v>
      </c>
      <c r="G36" s="105">
        <f t="shared" si="4"/>
        <v>428</v>
      </c>
      <c r="I36" s="98" t="s">
        <v>67</v>
      </c>
      <c r="K36" s="99">
        <f>H5</f>
        <v>419</v>
      </c>
    </row>
    <row r="37" spans="2:11" ht="25.5" x14ac:dyDescent="0.35">
      <c r="B37" s="123">
        <f t="shared" si="6"/>
        <v>100</v>
      </c>
      <c r="C37" s="131">
        <f t="shared" si="0"/>
        <v>11.395302168307197</v>
      </c>
      <c r="D37" s="124">
        <f t="shared" si="1"/>
        <v>59.24</v>
      </c>
      <c r="E37" s="125">
        <f t="shared" si="2"/>
        <v>320.51</v>
      </c>
      <c r="F37" s="104">
        <f t="shared" si="5"/>
        <v>126</v>
      </c>
      <c r="G37" s="105">
        <f t="shared" si="4"/>
        <v>431</v>
      </c>
      <c r="I37" s="98" t="s">
        <v>59</v>
      </c>
      <c r="K37" s="99">
        <f>G78</f>
        <v>457</v>
      </c>
    </row>
    <row r="38" spans="2:11" ht="25.5" x14ac:dyDescent="0.35">
      <c r="B38" s="110">
        <f t="shared" si="6"/>
        <v>110</v>
      </c>
      <c r="C38" s="111">
        <f t="shared" si="0"/>
        <v>10.356182121590692</v>
      </c>
      <c r="D38" s="112">
        <f t="shared" si="1"/>
        <v>62.61</v>
      </c>
      <c r="E38" s="113">
        <f t="shared" si="2"/>
        <v>452.73</v>
      </c>
      <c r="F38" s="104">
        <f t="shared" si="5"/>
        <v>124</v>
      </c>
      <c r="G38" s="105">
        <f t="shared" si="4"/>
        <v>433</v>
      </c>
      <c r="I38" s="98" t="s">
        <v>68</v>
      </c>
      <c r="K38" s="99">
        <f>G29</f>
        <v>322</v>
      </c>
    </row>
    <row r="39" spans="2:11" ht="14.25" x14ac:dyDescent="0.2">
      <c r="B39" s="123">
        <f t="shared" si="6"/>
        <v>120</v>
      </c>
      <c r="C39" s="131">
        <f t="shared" si="0"/>
        <v>9.4907364849619356</v>
      </c>
      <c r="D39" s="124">
        <f t="shared" si="1"/>
        <v>65.72</v>
      </c>
      <c r="E39" s="125">
        <f t="shared" si="2"/>
        <v>689.89</v>
      </c>
      <c r="F39" s="104">
        <f t="shared" si="5"/>
        <v>122</v>
      </c>
      <c r="G39" s="105">
        <f t="shared" si="4"/>
        <v>435</v>
      </c>
    </row>
    <row r="40" spans="2:11" ht="14.25" x14ac:dyDescent="0.2">
      <c r="B40" s="110">
        <f t="shared" si="6"/>
        <v>130</v>
      </c>
      <c r="C40" s="111">
        <f t="shared" si="0"/>
        <v>8.7587823820210868</v>
      </c>
      <c r="D40" s="112">
        <f t="shared" si="1"/>
        <v>68.599999999999994</v>
      </c>
      <c r="E40" s="113">
        <f t="shared" si="2"/>
        <v>1239.18</v>
      </c>
      <c r="F40" s="104">
        <f t="shared" si="5"/>
        <v>120</v>
      </c>
      <c r="G40" s="105">
        <f t="shared" si="4"/>
        <v>437</v>
      </c>
    </row>
    <row r="41" spans="2:11" ht="14.25" x14ac:dyDescent="0.2">
      <c r="B41" s="110">
        <f t="shared" si="6"/>
        <v>140</v>
      </c>
      <c r="C41" s="111">
        <f t="shared" si="0"/>
        <v>8.1316454608593531</v>
      </c>
      <c r="D41" s="112">
        <f t="shared" si="1"/>
        <v>71.28</v>
      </c>
      <c r="E41" s="113">
        <f t="shared" si="2"/>
        <v>3902.33</v>
      </c>
      <c r="F41" s="104">
        <f t="shared" si="5"/>
        <v>119</v>
      </c>
      <c r="G41" s="105">
        <f t="shared" si="4"/>
        <v>438</v>
      </c>
    </row>
    <row r="42" spans="2:11" ht="14.25" x14ac:dyDescent="0.2">
      <c r="B42" s="110">
        <f t="shared" si="6"/>
        <v>150</v>
      </c>
      <c r="C42" s="111">
        <f t="shared" si="0"/>
        <v>7.5883150812157991</v>
      </c>
      <c r="D42" s="112">
        <f t="shared" si="1"/>
        <v>73.78</v>
      </c>
      <c r="E42" s="113">
        <f t="shared" si="2"/>
        <v>-4524.05</v>
      </c>
      <c r="F42" s="104">
        <f t="shared" si="5"/>
        <v>118</v>
      </c>
      <c r="G42" s="105">
        <f t="shared" si="4"/>
        <v>439</v>
      </c>
    </row>
    <row r="43" spans="2:11" ht="14.25" x14ac:dyDescent="0.2">
      <c r="B43" s="110">
        <f t="shared" si="6"/>
        <v>160</v>
      </c>
      <c r="C43" s="111">
        <f t="shared" si="0"/>
        <v>7.1130443496614753</v>
      </c>
      <c r="D43" s="112">
        <f t="shared" si="1"/>
        <v>76.11</v>
      </c>
      <c r="E43" s="113">
        <f t="shared" si="2"/>
        <v>-1565.74</v>
      </c>
      <c r="F43" s="104">
        <f t="shared" si="5"/>
        <v>116</v>
      </c>
      <c r="G43" s="105">
        <f t="shared" si="4"/>
        <v>441</v>
      </c>
    </row>
    <row r="44" spans="2:11" ht="14.25" x14ac:dyDescent="0.2">
      <c r="B44" s="110">
        <f t="shared" si="6"/>
        <v>170</v>
      </c>
      <c r="C44" s="111">
        <f t="shared" si="0"/>
        <v>6.693798883669392</v>
      </c>
      <c r="D44" s="112">
        <f t="shared" si="1"/>
        <v>78.3</v>
      </c>
      <c r="E44" s="113">
        <f t="shared" si="2"/>
        <v>-992.87</v>
      </c>
      <c r="F44" s="104">
        <f t="shared" si="5"/>
        <v>115</v>
      </c>
      <c r="G44" s="105">
        <f t="shared" si="4"/>
        <v>442</v>
      </c>
    </row>
    <row r="45" spans="2:11" ht="14.25" x14ac:dyDescent="0.2">
      <c r="B45" s="110">
        <f t="shared" si="6"/>
        <v>180</v>
      </c>
      <c r="C45" s="111">
        <f t="shared" si="0"/>
        <v>6.3212236242298081</v>
      </c>
      <c r="D45" s="112">
        <f t="shared" si="1"/>
        <v>80.349999999999994</v>
      </c>
      <c r="E45" s="113">
        <f t="shared" si="2"/>
        <v>-749.21</v>
      </c>
      <c r="F45" s="104">
        <f t="shared" si="5"/>
        <v>115</v>
      </c>
      <c r="G45" s="105">
        <f t="shared" si="4"/>
        <v>442</v>
      </c>
    </row>
    <row r="46" spans="2:11" ht="14.25" x14ac:dyDescent="0.2">
      <c r="B46" s="110">
        <f t="shared" si="6"/>
        <v>190</v>
      </c>
      <c r="C46" s="111">
        <f t="shared" si="0"/>
        <v>5.9879364978936325</v>
      </c>
      <c r="D46" s="112">
        <f t="shared" si="1"/>
        <v>82.28</v>
      </c>
      <c r="E46" s="113">
        <f t="shared" si="2"/>
        <v>-614.32000000000005</v>
      </c>
      <c r="F46" s="104">
        <f t="shared" si="5"/>
        <v>114</v>
      </c>
      <c r="G46" s="105">
        <f t="shared" si="4"/>
        <v>443</v>
      </c>
    </row>
    <row r="47" spans="2:11" ht="14.25" x14ac:dyDescent="0.2">
      <c r="B47" s="110">
        <f t="shared" si="6"/>
        <v>200</v>
      </c>
      <c r="C47" s="111">
        <f t="shared" si="0"/>
        <v>5.6880343378592935</v>
      </c>
      <c r="D47" s="112">
        <f t="shared" si="1"/>
        <v>84.09</v>
      </c>
      <c r="E47" s="113">
        <f t="shared" si="2"/>
        <v>-528.66</v>
      </c>
      <c r="F47" s="104">
        <f t="shared" si="5"/>
        <v>113</v>
      </c>
      <c r="G47" s="105">
        <f t="shared" si="4"/>
        <v>444</v>
      </c>
    </row>
    <row r="48" spans="2:11" ht="14.25" x14ac:dyDescent="0.2">
      <c r="B48" s="110">
        <f t="shared" si="6"/>
        <v>210</v>
      </c>
      <c r="C48" s="111">
        <f t="shared" si="0"/>
        <v>5.4167401973643425</v>
      </c>
      <c r="D48" s="112">
        <f t="shared" si="1"/>
        <v>85.81</v>
      </c>
      <c r="E48" s="113">
        <f t="shared" si="2"/>
        <v>-469.43</v>
      </c>
      <c r="F48" s="104">
        <f t="shared" si="5"/>
        <v>112</v>
      </c>
      <c r="G48" s="105">
        <f t="shared" si="4"/>
        <v>445</v>
      </c>
    </row>
    <row r="49" spans="2:7" ht="14.25" x14ac:dyDescent="0.2">
      <c r="B49" s="110">
        <f t="shared" si="6"/>
        <v>220</v>
      </c>
      <c r="C49" s="111">
        <f t="shared" si="0"/>
        <v>5.1701469979013304</v>
      </c>
      <c r="D49" s="112">
        <f t="shared" si="1"/>
        <v>87.43</v>
      </c>
      <c r="E49" s="113">
        <f t="shared" si="2"/>
        <v>-426.04</v>
      </c>
      <c r="F49" s="104">
        <f t="shared" si="5"/>
        <v>112</v>
      </c>
      <c r="G49" s="105">
        <f t="shared" si="4"/>
        <v>445</v>
      </c>
    </row>
    <row r="50" spans="2:7" ht="14.25" x14ac:dyDescent="0.2">
      <c r="B50" s="110">
        <f t="shared" si="6"/>
        <v>230</v>
      </c>
      <c r="C50" s="111">
        <f t="shared" si="0"/>
        <v>4.9450281499414368</v>
      </c>
      <c r="D50" s="112">
        <f t="shared" si="1"/>
        <v>88.96</v>
      </c>
      <c r="E50" s="113">
        <f t="shared" si="2"/>
        <v>-392.88</v>
      </c>
      <c r="F50" s="104">
        <f t="shared" si="5"/>
        <v>111</v>
      </c>
      <c r="G50" s="105">
        <f t="shared" si="4"/>
        <v>446</v>
      </c>
    </row>
    <row r="51" spans="2:7" ht="14.25" x14ac:dyDescent="0.2">
      <c r="B51" s="110">
        <f t="shared" si="6"/>
        <v>240</v>
      </c>
      <c r="C51" s="111">
        <f t="shared" si="0"/>
        <v>4.7386955850506753</v>
      </c>
      <c r="D51" s="112">
        <f t="shared" si="1"/>
        <v>90.41</v>
      </c>
      <c r="E51" s="113">
        <f t="shared" si="2"/>
        <v>-366.72</v>
      </c>
      <c r="F51" s="104">
        <f t="shared" si="5"/>
        <v>111</v>
      </c>
      <c r="G51" s="105">
        <f t="shared" si="4"/>
        <v>446</v>
      </c>
    </row>
    <row r="52" spans="2:7" ht="14.25" x14ac:dyDescent="0.2">
      <c r="B52" s="110">
        <f t="shared" si="6"/>
        <v>250</v>
      </c>
      <c r="C52" s="111">
        <f t="shared" si="0"/>
        <v>4.5488919062896791</v>
      </c>
      <c r="D52" s="112">
        <f t="shared" si="1"/>
        <v>91.79</v>
      </c>
      <c r="E52" s="113">
        <f t="shared" si="2"/>
        <v>-345.55</v>
      </c>
      <c r="F52" s="104">
        <f t="shared" si="5"/>
        <v>110</v>
      </c>
      <c r="G52" s="105">
        <f t="shared" si="4"/>
        <v>447</v>
      </c>
    </row>
    <row r="53" spans="2:7" ht="14.25" x14ac:dyDescent="0.2">
      <c r="B53" s="110">
        <f t="shared" si="6"/>
        <v>260</v>
      </c>
      <c r="C53" s="111">
        <f t="shared" si="0"/>
        <v>4.3737074592837635</v>
      </c>
      <c r="D53" s="112">
        <f t="shared" si="1"/>
        <v>93.11</v>
      </c>
      <c r="E53" s="113">
        <f t="shared" si="2"/>
        <v>-328.07</v>
      </c>
      <c r="F53" s="104">
        <f t="shared" si="5"/>
        <v>110</v>
      </c>
      <c r="G53" s="105">
        <f t="shared" si="4"/>
        <v>447</v>
      </c>
    </row>
    <row r="54" spans="2:7" ht="14.25" x14ac:dyDescent="0.2">
      <c r="B54" s="110">
        <f t="shared" si="6"/>
        <v>270</v>
      </c>
      <c r="C54" s="111">
        <f t="shared" si="0"/>
        <v>4.2115158549745422</v>
      </c>
      <c r="D54" s="112">
        <f t="shared" si="1"/>
        <v>94.35</v>
      </c>
      <c r="E54" s="113">
        <f t="shared" si="2"/>
        <v>-313.39</v>
      </c>
      <c r="F54" s="104">
        <f t="shared" si="5"/>
        <v>110</v>
      </c>
      <c r="G54" s="105">
        <f t="shared" si="4"/>
        <v>447</v>
      </c>
    </row>
    <row r="55" spans="2:7" ht="14.25" x14ac:dyDescent="0.2">
      <c r="B55" s="110">
        <f t="shared" si="6"/>
        <v>280</v>
      </c>
      <c r="C55" s="111">
        <f t="shared" si="0"/>
        <v>4.0609233255739952</v>
      </c>
      <c r="D55" s="112">
        <f t="shared" si="1"/>
        <v>95.54</v>
      </c>
      <c r="E55" s="113">
        <f t="shared" si="2"/>
        <v>-300.89</v>
      </c>
      <c r="F55" s="104">
        <f t="shared" si="5"/>
        <v>109</v>
      </c>
      <c r="G55" s="105">
        <f t="shared" si="4"/>
        <v>448</v>
      </c>
    </row>
    <row r="56" spans="2:7" ht="14.25" x14ac:dyDescent="0.2">
      <c r="B56" s="110">
        <f t="shared" si="6"/>
        <v>290</v>
      </c>
      <c r="C56" s="111">
        <f t="shared" si="0"/>
        <v>3.9207285707874329</v>
      </c>
      <c r="D56" s="112">
        <f t="shared" si="1"/>
        <v>96.68</v>
      </c>
      <c r="E56" s="113">
        <f t="shared" si="2"/>
        <v>-290.11</v>
      </c>
      <c r="F56" s="104">
        <f t="shared" si="5"/>
        <v>109</v>
      </c>
      <c r="G56" s="105">
        <f t="shared" si="4"/>
        <v>448</v>
      </c>
    </row>
    <row r="57" spans="2:7" ht="14.25" x14ac:dyDescent="0.2">
      <c r="B57" s="110">
        <f t="shared" si="6"/>
        <v>300</v>
      </c>
      <c r="C57" s="111">
        <f t="shared" si="0"/>
        <v>3.7898906438232283</v>
      </c>
      <c r="D57" s="112">
        <f t="shared" si="1"/>
        <v>97.76</v>
      </c>
      <c r="E57" s="113">
        <f t="shared" si="2"/>
        <v>-280.73</v>
      </c>
      <c r="F57" s="104">
        <f t="shared" si="5"/>
        <v>109</v>
      </c>
      <c r="G57" s="105">
        <f t="shared" si="4"/>
        <v>448</v>
      </c>
    </row>
    <row r="58" spans="2:7" ht="14.25" x14ac:dyDescent="0.2">
      <c r="B58" s="110">
        <f t="shared" si="6"/>
        <v>310</v>
      </c>
      <c r="C58" s="111">
        <f t="shared" si="0"/>
        <v>3.6675030597778879</v>
      </c>
      <c r="D58" s="112">
        <f t="shared" si="1"/>
        <v>98.8</v>
      </c>
      <c r="E58" s="113">
        <f t="shared" si="2"/>
        <v>-272.49</v>
      </c>
      <c r="F58" s="104">
        <f t="shared" si="5"/>
        <v>108</v>
      </c>
      <c r="G58" s="105">
        <f t="shared" si="4"/>
        <v>449</v>
      </c>
    </row>
    <row r="59" spans="2:7" ht="14.25" x14ac:dyDescent="0.2">
      <c r="B59" s="110">
        <f t="shared" si="6"/>
        <v>320</v>
      </c>
      <c r="C59" s="111">
        <f t="shared" si="0"/>
        <v>3.5527727638168947</v>
      </c>
      <c r="D59" s="112">
        <f t="shared" si="1"/>
        <v>99.79</v>
      </c>
      <c r="E59" s="113">
        <f t="shared" si="2"/>
        <v>-265.19</v>
      </c>
      <c r="F59" s="104">
        <f t="shared" si="5"/>
        <v>108</v>
      </c>
      <c r="G59" s="105">
        <f t="shared" si="4"/>
        <v>449</v>
      </c>
    </row>
    <row r="60" spans="2:7" ht="14.25" x14ac:dyDescent="0.2">
      <c r="B60" s="110">
        <f t="shared" si="6"/>
        <v>330</v>
      </c>
      <c r="C60" s="111">
        <f t="shared" si="0"/>
        <v>3.4450029272317493</v>
      </c>
      <c r="D60" s="112">
        <f t="shared" si="1"/>
        <v>100.74</v>
      </c>
      <c r="E60" s="113">
        <f t="shared" si="2"/>
        <v>-258.67</v>
      </c>
      <c r="F60" s="104">
        <f t="shared" si="5"/>
        <v>108</v>
      </c>
      <c r="G60" s="105">
        <f t="shared" si="4"/>
        <v>449</v>
      </c>
    </row>
    <row r="61" spans="2:7" ht="14.25" x14ac:dyDescent="0.2">
      <c r="B61" s="110">
        <f t="shared" si="6"/>
        <v>340</v>
      </c>
      <c r="C61" s="111">
        <f t="shared" si="0"/>
        <v>3.3435787824991245</v>
      </c>
      <c r="D61" s="112">
        <f t="shared" si="1"/>
        <v>101.65</v>
      </c>
      <c r="E61" s="113">
        <f t="shared" si="2"/>
        <v>-252.83</v>
      </c>
      <c r="F61" s="104">
        <f t="shared" si="5"/>
        <v>108</v>
      </c>
      <c r="G61" s="105">
        <f t="shared" si="4"/>
        <v>449</v>
      </c>
    </row>
    <row r="62" spans="2:7" ht="14.25" x14ac:dyDescent="0.2">
      <c r="B62" s="110">
        <f t="shared" si="6"/>
        <v>350</v>
      </c>
      <c r="C62" s="111">
        <f t="shared" si="0"/>
        <v>3.2479558889559379</v>
      </c>
      <c r="D62" s="112">
        <f t="shared" si="1"/>
        <v>102.53</v>
      </c>
      <c r="E62" s="113">
        <f t="shared" si="2"/>
        <v>-247.56</v>
      </c>
      <c r="F62" s="104">
        <f t="shared" si="5"/>
        <v>107</v>
      </c>
      <c r="G62" s="105">
        <f t="shared" si="4"/>
        <v>450</v>
      </c>
    </row>
    <row r="63" spans="2:7" ht="14.25" x14ac:dyDescent="0.2">
      <c r="B63" s="110">
        <f t="shared" si="6"/>
        <v>360</v>
      </c>
      <c r="C63" s="111">
        <f t="shared" si="0"/>
        <v>3.1576503560277263</v>
      </c>
      <c r="D63" s="112">
        <f t="shared" si="1"/>
        <v>103.36</v>
      </c>
      <c r="E63" s="113">
        <f t="shared" si="2"/>
        <v>-242.78</v>
      </c>
      <c r="F63" s="104">
        <f t="shared" si="5"/>
        <v>107</v>
      </c>
      <c r="G63" s="105">
        <f t="shared" si="4"/>
        <v>450</v>
      </c>
    </row>
    <row r="64" spans="2:7" ht="14.25" x14ac:dyDescent="0.2">
      <c r="B64" s="110">
        <f t="shared" si="6"/>
        <v>370</v>
      </c>
      <c r="C64" s="111">
        <f t="shared" si="0"/>
        <v>3.0722306533247852</v>
      </c>
      <c r="D64" s="112">
        <f t="shared" si="1"/>
        <v>104.17</v>
      </c>
      <c r="E64" s="113">
        <f t="shared" si="2"/>
        <v>-238.42</v>
      </c>
      <c r="F64" s="104">
        <f t="shared" si="5"/>
        <v>107</v>
      </c>
      <c r="G64" s="105">
        <f t="shared" si="4"/>
        <v>450</v>
      </c>
    </row>
    <row r="65" spans="2:7" ht="14.25" x14ac:dyDescent="0.2">
      <c r="B65" s="110">
        <f t="shared" si="6"/>
        <v>380</v>
      </c>
      <c r="C65" s="111">
        <f t="shared" si="0"/>
        <v>2.9913107150288547</v>
      </c>
      <c r="D65" s="112">
        <f t="shared" si="1"/>
        <v>104.95</v>
      </c>
      <c r="E65" s="113">
        <f t="shared" si="2"/>
        <v>-234.44</v>
      </c>
      <c r="F65" s="104">
        <f t="shared" si="5"/>
        <v>107</v>
      </c>
      <c r="G65" s="105">
        <f t="shared" si="4"/>
        <v>450</v>
      </c>
    </row>
    <row r="66" spans="2:7" ht="14.25" x14ac:dyDescent="0.2">
      <c r="B66" s="110">
        <f t="shared" si="6"/>
        <v>390</v>
      </c>
      <c r="C66" s="111">
        <f t="shared" si="0"/>
        <v>2.9145441060608785</v>
      </c>
      <c r="D66" s="112">
        <f t="shared" si="1"/>
        <v>105.69</v>
      </c>
      <c r="E66" s="113">
        <f t="shared" si="2"/>
        <v>-230.78</v>
      </c>
      <c r="F66" s="104">
        <f t="shared" si="5"/>
        <v>107</v>
      </c>
      <c r="G66" s="105">
        <f t="shared" si="4"/>
        <v>450</v>
      </c>
    </row>
    <row r="67" spans="2:7" ht="14.25" x14ac:dyDescent="0.2">
      <c r="B67" s="110">
        <f t="shared" si="6"/>
        <v>400</v>
      </c>
      <c r="C67" s="111">
        <f t="shared" si="0"/>
        <v>2.8416190640614718</v>
      </c>
      <c r="D67" s="112">
        <f t="shared" si="1"/>
        <v>106.41</v>
      </c>
      <c r="E67" s="113">
        <f t="shared" si="2"/>
        <v>-227.41</v>
      </c>
      <c r="F67" s="104">
        <f t="shared" si="5"/>
        <v>106</v>
      </c>
      <c r="G67" s="105">
        <f t="shared" si="4"/>
        <v>451</v>
      </c>
    </row>
    <row r="68" spans="2:7" ht="14.25" x14ac:dyDescent="0.2">
      <c r="B68" s="110">
        <f t="shared" si="6"/>
        <v>410</v>
      </c>
      <c r="C68" s="111">
        <f t="shared" si="0"/>
        <v>2.7722542675320936</v>
      </c>
      <c r="D68" s="112">
        <f t="shared" si="1"/>
        <v>107.11</v>
      </c>
      <c r="E68" s="113">
        <f t="shared" si="2"/>
        <v>-224.29</v>
      </c>
      <c r="F68" s="104">
        <f t="shared" si="5"/>
        <v>106</v>
      </c>
      <c r="G68" s="105">
        <f t="shared" si="4"/>
        <v>451</v>
      </c>
    </row>
    <row r="69" spans="2:7" ht="14.25" x14ac:dyDescent="0.2">
      <c r="B69" s="110">
        <f t="shared" si="6"/>
        <v>420</v>
      </c>
      <c r="C69" s="111">
        <f t="shared" si="0"/>
        <v>2.7061952090129466</v>
      </c>
      <c r="D69" s="112">
        <f t="shared" si="1"/>
        <v>107.77</v>
      </c>
      <c r="E69" s="113">
        <f t="shared" si="2"/>
        <v>-221.4</v>
      </c>
      <c r="F69" s="104">
        <f t="shared" si="5"/>
        <v>106</v>
      </c>
      <c r="G69" s="105">
        <f t="shared" si="4"/>
        <v>451</v>
      </c>
    </row>
    <row r="70" spans="2:7" ht="14.25" x14ac:dyDescent="0.2">
      <c r="B70" s="110">
        <f t="shared" si="6"/>
        <v>430</v>
      </c>
      <c r="C70" s="111">
        <f t="shared" si="0"/>
        <v>2.6432110747260067</v>
      </c>
      <c r="D70" s="112">
        <f t="shared" si="1"/>
        <v>108.42</v>
      </c>
      <c r="E70" s="113">
        <f t="shared" si="2"/>
        <v>-218.71</v>
      </c>
      <c r="F70" s="104">
        <f t="shared" si="5"/>
        <v>106</v>
      </c>
      <c r="G70" s="105">
        <f t="shared" si="4"/>
        <v>451</v>
      </c>
    </row>
    <row r="71" spans="2:7" ht="14.25" x14ac:dyDescent="0.2">
      <c r="B71" s="110">
        <f t="shared" si="6"/>
        <v>440</v>
      </c>
      <c r="C71" s="111">
        <f t="shared" si="0"/>
        <v>2.5830920500474228</v>
      </c>
      <c r="D71" s="112">
        <f t="shared" si="1"/>
        <v>109.04</v>
      </c>
      <c r="E71" s="113">
        <f t="shared" si="2"/>
        <v>-216.21</v>
      </c>
      <c r="F71" s="104">
        <f t="shared" si="5"/>
        <v>106</v>
      </c>
      <c r="G71" s="105">
        <f t="shared" si="4"/>
        <v>451</v>
      </c>
    </row>
    <row r="72" spans="2:7" ht="14.25" x14ac:dyDescent="0.2">
      <c r="B72" s="110">
        <f t="shared" si="6"/>
        <v>450</v>
      </c>
      <c r="C72" s="111">
        <f t="shared" si="0"/>
        <v>2.5256469845195184</v>
      </c>
      <c r="D72" s="112">
        <f t="shared" si="1"/>
        <v>109.65</v>
      </c>
      <c r="E72" s="113">
        <f t="shared" si="2"/>
        <v>-213.87</v>
      </c>
      <c r="F72" s="104">
        <f t="shared" si="5"/>
        <v>106</v>
      </c>
      <c r="G72" s="105">
        <f t="shared" si="4"/>
        <v>451</v>
      </c>
    </row>
    <row r="73" spans="2:7" ht="14.25" x14ac:dyDescent="0.2">
      <c r="B73" s="110">
        <f t="shared" si="6"/>
        <v>460</v>
      </c>
      <c r="C73" s="111">
        <f t="shared" si="0"/>
        <v>2.4707013616497306</v>
      </c>
      <c r="D73" s="112">
        <f t="shared" si="1"/>
        <v>110.23</v>
      </c>
      <c r="E73" s="113">
        <f t="shared" si="2"/>
        <v>-211.67</v>
      </c>
      <c r="F73" s="104">
        <f t="shared" si="5"/>
        <v>106</v>
      </c>
      <c r="G73" s="105">
        <f t="shared" si="4"/>
        <v>451</v>
      </c>
    </row>
    <row r="74" spans="2:7" ht="14.25" x14ac:dyDescent="0.2">
      <c r="B74" s="110">
        <f t="shared" si="6"/>
        <v>470</v>
      </c>
      <c r="C74" s="111">
        <f t="shared" si="0"/>
        <v>2.4180955280701268</v>
      </c>
      <c r="D74" s="112">
        <f t="shared" si="1"/>
        <v>110.79</v>
      </c>
      <c r="E74" s="113">
        <f t="shared" si="2"/>
        <v>-209.62</v>
      </c>
      <c r="F74" s="104">
        <f t="shared" si="5"/>
        <v>105</v>
      </c>
      <c r="G74" s="105">
        <f t="shared" si="4"/>
        <v>452</v>
      </c>
    </row>
    <row r="75" spans="2:7" ht="14.25" x14ac:dyDescent="0.2">
      <c r="B75" s="110">
        <f t="shared" si="6"/>
        <v>480</v>
      </c>
      <c r="C75" s="111">
        <f t="shared" si="0"/>
        <v>2.3676831442074961</v>
      </c>
      <c r="D75" s="112">
        <f t="shared" si="1"/>
        <v>111.34</v>
      </c>
      <c r="E75" s="113">
        <f t="shared" si="2"/>
        <v>-207.68</v>
      </c>
      <c r="F75" s="104">
        <f t="shared" si="5"/>
        <v>105</v>
      </c>
      <c r="G75" s="105">
        <f t="shared" si="4"/>
        <v>452</v>
      </c>
    </row>
    <row r="76" spans="2:7" ht="14.25" x14ac:dyDescent="0.2">
      <c r="B76" s="110">
        <f t="shared" si="6"/>
        <v>490</v>
      </c>
      <c r="C76" s="111">
        <f t="shared" si="0"/>
        <v>2.3193298247978711</v>
      </c>
      <c r="D76" s="112">
        <f t="shared" si="1"/>
        <v>111.87</v>
      </c>
      <c r="E76" s="113">
        <f t="shared" si="2"/>
        <v>-205.86</v>
      </c>
      <c r="F76" s="104">
        <f t="shared" si="5"/>
        <v>105</v>
      </c>
      <c r="G76" s="105">
        <f t="shared" si="4"/>
        <v>452</v>
      </c>
    </row>
    <row r="77" spans="2:7" ht="14.25" x14ac:dyDescent="0.2">
      <c r="B77" s="110">
        <f t="shared" si="6"/>
        <v>500</v>
      </c>
      <c r="C77" s="111">
        <f t="shared" si="0"/>
        <v>2.2729119426493458</v>
      </c>
      <c r="D77" s="132">
        <f t="shared" si="1"/>
        <v>112.38</v>
      </c>
      <c r="E77" s="113">
        <f t="shared" si="2"/>
        <v>-204.14</v>
      </c>
      <c r="F77" s="104">
        <f t="shared" si="5"/>
        <v>105</v>
      </c>
      <c r="G77" s="105">
        <f t="shared" si="4"/>
        <v>452</v>
      </c>
    </row>
    <row r="78" spans="2:7" ht="14.25" x14ac:dyDescent="0.2">
      <c r="B78" s="133" t="s">
        <v>116</v>
      </c>
      <c r="C78" s="134">
        <v>0</v>
      </c>
      <c r="D78" s="135"/>
      <c r="E78" s="136"/>
      <c r="F78" s="104">
        <f t="shared" si="5"/>
        <v>100</v>
      </c>
      <c r="G78" s="105">
        <f t="shared" si="4"/>
        <v>457</v>
      </c>
    </row>
    <row r="79" spans="2:7" ht="15" thickBot="1" x14ac:dyDescent="0.25">
      <c r="B79" s="137" t="s">
        <v>117</v>
      </c>
      <c r="C79" s="138">
        <v>-30</v>
      </c>
      <c r="D79" s="139"/>
      <c r="E79" s="140"/>
      <c r="F79" s="104">
        <f t="shared" si="5"/>
        <v>29</v>
      </c>
      <c r="G79" s="105">
        <f t="shared" si="4"/>
        <v>528</v>
      </c>
    </row>
  </sheetData>
  <mergeCells count="8">
    <mergeCell ref="I2:J2"/>
    <mergeCell ref="D18:E18"/>
    <mergeCell ref="F18:F19"/>
    <mergeCell ref="G18:G19"/>
    <mergeCell ref="B2:B6"/>
    <mergeCell ref="C2:D2"/>
    <mergeCell ref="E2:F2"/>
    <mergeCell ref="G2:H2"/>
  </mergeCells>
  <phoneticPr fontId="37" type="noConversion"/>
  <pageMargins left="0.75" right="0.75" top="1" bottom="1" header="0.5" footer="0.5"/>
  <pageSetup scale="57" fitToHeight="0" orientation="landscape" horizontalDpi="1200" verticalDpi="1200" r:id="rId1"/>
  <headerFooter>
    <oddHeader>&amp;C&amp;8&amp;R&amp;8 DOF</oddHeader>
    <oddFooter>&amp;L&amp;8 80-NN841-1 A&amp;C&amp;8&amp;"Arial,Bold"MAY CONTAIN U.S. AND INTERNATIONAL EXPORT CONTROLLED INFORMATION&amp;R&amp;8Confidential and Proprietary – Qualcomm Technologies, Inc.</oddFooter>
  </headerFooter>
</worksheet>
</file>

<file path=customUI/_rels/customUI.xml.rels><?xml version="1.0" encoding="UTF-8" standalone="yes"?>
<Relationships xmlns="http://schemas.openxmlformats.org/package/2006/relationships"><Relationship Id="TableHead" Type="http://schemas.openxmlformats.org/officeDocument/2006/relationships/image" Target="NULL"/><Relationship Id="r90A757D5-2300-49AE-93E8-F006C2259DE0" Type="http://schemas.openxmlformats.org/officeDocument/2006/relationships/image" Target="NULL"/></Relationships>
</file>

<file path=customUI/customUI.xml><?xml version="1.0" encoding="utf-8"?>
<customUI xmlns="http://schemas.microsoft.com/office/2006/01/customui">
  <ribbon>
    <tabs>
      <tab id="MyCustomTab" label="QTI Tools" insertBeforeMso="TabHome">
        <group id="customGroup1" label="TechPubs">
          <button id="customButton4" label="Import Sheets" size="large" onAction="ImportSheets" imageMso="ZoomToSelection"/>
          <gallery id="HeadFootGallery" imageMso="HeaderFooterInsert" label="Header/ Footer" columns="1" rows="2" onAction="HeadFoot" size="large">
            <item id="SetHeadFoot" label="Set Headers/Footers"/>
            <item id="ClearHeadFoot" label="Clear Headers/Footers"/>
          </gallery>
          <separator id="MySeparator1"/>
          <button id="customButton3" label="Numerous Changes" size="large" onAction="NumerousChgNote" imageMso="AccountMenu"/>
          <button id="customButtonChgCs" label="Change Case" size="large" onAction="InitialCapsCase" imageMso="FormControlLabel"/>
          <button id="customButtonBull" label="Bulleted / Numbered List" size="large" onAction="BulletedList" imageMso="SmartArtAddBullet"/>
          <gallery id="TableGallery" imageMso="TableStyleRowHeaders" label="Format Table Cells" columns="1" rows="2" onAction="FormatCustomTable" size="large">
            <item id="TableEntry" label="Format as Table Entry"/>
            <item id="TableHead" label="Format as Table Head"/>
          </gallery>
          <button id="customButtonBk" label="Line Break" size="large" onAction="LineBreak" imageMso="PivotTableSubtotalsDoNotShow"/>
          <button idMso="Spelling" size="large"/>
        </group>
        <group idMso="GroupFont"/>
        <group idMso="GroupAlignmentExcel"/>
        <group idMso="GroupWorkbookViews"/>
        <group idMso="GroupPageSetup"/>
        <group idMso="GroupPageLayoutScaleToFit"/>
        <group idMso="GroupCells"/>
        <group id="customGroup2" label="Template">
          <button id="customButton5" label="Ver 6-13" size="large" onAction="basTemplate.RevHx" imageMso="ReviewCompareMajorVersion"/>
          <!-- <button id="customButton6" label="Template Version" size="large" onAction="basTemplate.Templatever" imageMso="BarcodeInsert" /> -->
          <button id="customButton7" label="Help" size="large" onAction="basTemplate.Help_Me" imageMso="TentativeAcceptInvitation"/>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_dlc_DocId xmlns="79e7c47d-1374-4efb-84fe-af3625726193">TECHPUBS-503-56</_dlc_DocId>
    <_dlc_DocIdUrl xmlns="79e7c47d-1374-4efb-84fe-af3625726193">
      <Url>http://sharepoint/qct/Tech-Pubs/SW/ASW/_layouts/DocIdRedir.aspx?ID=TECHPUBS-503-56</Url>
      <Description>TECHPUBS-503-56</Description>
    </_dlc_DocIdUrl>
    <PublishingRollupImage xmlns="http://schemas.microsoft.com/sharepoint/v3" xsi:nil="true"/>
    <PublishingContactEmail xmlns="http://schemas.microsoft.com/sharepoint/v3" xsi:nil="true"/>
    <PublishingVariationRelationshipLinkFieldID xmlns="http://schemas.microsoft.com/sharepoint/v3">
      <Url xsi:nil="true"/>
      <Description xsi:nil="true"/>
    </PublishingVariationRelationshipLinkFieldID>
    <PublishingVariationGroupID xmlns="http://schemas.microsoft.com/sharepoint/v3" xsi:nil="true"/>
    <Audience xmlns="http://schemas.microsoft.com/sharepoint/v3" xsi:nil="true"/>
    <PublishingExpirationDate xmlns="http://schemas.microsoft.com/sharepoint/v3" xsi:nil="true"/>
    <PublishingContactPicture xmlns="http://schemas.microsoft.com/sharepoint/v3">
      <Url xsi:nil="true"/>
      <Description xsi:nil="true"/>
    </PublishingContactPicture>
    <PublishingStartDate xmlns="http://schemas.microsoft.com/sharepoint/v3" xsi:nil="true"/>
    <PublishingContact xmlns="http://schemas.microsoft.com/sharepoint/v3">
      <UserInfo>
        <DisplayName/>
        <AccountId xsi:nil="true"/>
        <AccountType/>
      </UserInfo>
    </PublishingContact>
    <PublishingContactName xmlns="http://schemas.microsoft.com/sharepoint/v3" xsi:nil="true"/>
    <Comment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Page" ma:contentTypeID="0x010100C568DB52D9D0A14D9B2FDCC96666E9F2007948130EC3DB064584E219954237AF390074929ACCF5926F4B8F0AF3045F45E946" ma:contentTypeVersion="4" ma:contentTypeDescription="Page is a system content type template created by the Publishing Resources feature. The column templates from Page will be added to all Pages libraries created by the Publishing feature." ma:contentTypeScope="" ma:versionID="303d04e5a76217f7204107e5566c86b9">
  <xsd:schema xmlns:xsd="http://www.w3.org/2001/XMLSchema" xmlns:xs="http://www.w3.org/2001/XMLSchema" xmlns:p="http://schemas.microsoft.com/office/2006/metadata/properties" xmlns:ns1="http://schemas.microsoft.com/sharepoint/v3" xmlns:ns2="79e7c47d-1374-4efb-84fe-af3625726193" targetNamespace="http://schemas.microsoft.com/office/2006/metadata/properties" ma:root="true" ma:fieldsID="33d629f122fb2898fb7cb1078e4b8745" ns1:_="" ns2:_="">
    <xsd:import namespace="http://schemas.microsoft.com/sharepoint/v3"/>
    <xsd:import namespace="79e7c47d-1374-4efb-84fe-af3625726193"/>
    <xsd:element name="properties">
      <xsd:complexType>
        <xsd:sequence>
          <xsd:element name="documentManagement">
            <xsd:complexType>
              <xsd:all>
                <xsd:element ref="ns1:Comments" minOccurs="0"/>
                <xsd:element ref="ns1:PublishingStartDate" minOccurs="0"/>
                <xsd:element ref="ns1:PublishingExpirationDate" minOccurs="0"/>
                <xsd:element ref="ns1:PublishingContact" minOccurs="0"/>
                <xsd:element ref="ns1:PublishingContactEmail" minOccurs="0"/>
                <xsd:element ref="ns1:PublishingContactName" minOccurs="0"/>
                <xsd:element ref="ns1:PublishingContactPicture" minOccurs="0"/>
                <xsd:element ref="ns1:PublishingPageLayout" minOccurs="0"/>
                <xsd:element ref="ns1:PublishingVariationGroupID" minOccurs="0"/>
                <xsd:element ref="ns1:PublishingVariationRelationshipLinkFieldID" minOccurs="0"/>
                <xsd:element ref="ns1:PublishingRollupImage" minOccurs="0"/>
                <xsd:element ref="ns1:Audience" minOccurs="0"/>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omments" ma:index="8" nillable="true" ma:displayName="Comments" ma:internalName="Comments">
      <xsd:simpleType>
        <xsd:restriction base="dms:Note">
          <xsd:maxLength value="255"/>
        </xsd:restriction>
      </xsd:simpleType>
    </xsd:element>
    <xsd:element name="PublishingStartDate" ma:index="9" nillable="true" ma:displayName="Scheduling Start Date" ma:description="" ma:hidden="true" ma:internalName="PublishingStartDate">
      <xsd:simpleType>
        <xsd:restriction base="dms:Unknown"/>
      </xsd:simpleType>
    </xsd:element>
    <xsd:element name="PublishingExpirationDate" ma:index="10" nillable="true" ma:displayName="Scheduling End Date" ma:description="" ma:hidden="true" ma:internalName="PublishingExpirationDate">
      <xsd:simpleType>
        <xsd:restriction base="dms:Unknown"/>
      </xsd:simpleType>
    </xsd:element>
    <xsd:element name="PublishingContact" ma:index="11" nillable="true" ma:displayName="Contact" ma:list="UserInfo" ma:internalName="PublishingContact">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ublishingContactEmail" ma:index="12" nillable="true" ma:displayName="Contact E-Mail Address" ma:internalName="PublishingContactEmail">
      <xsd:simpleType>
        <xsd:restriction base="dms:Text">
          <xsd:maxLength value="255"/>
        </xsd:restriction>
      </xsd:simpleType>
    </xsd:element>
    <xsd:element name="PublishingContactName" ma:index="13" nillable="true" ma:displayName="Contact Name" ma:internalName="PublishingContactName">
      <xsd:simpleType>
        <xsd:restriction base="dms:Text">
          <xsd:maxLength value="255"/>
        </xsd:restriction>
      </xsd:simpleType>
    </xsd:element>
    <xsd:element name="PublishingContactPicture" ma:index="14" nillable="true" ma:displayName="Contact Picture" ma:format="Image" ma:internalName="PublishingContactPicture">
      <xsd:complexType>
        <xsd:complexContent>
          <xsd:extension base="dms:URL">
            <xsd:sequence>
              <xsd:element name="Url" type="dms:ValidUrl" minOccurs="0" nillable="true"/>
              <xsd:element name="Description" type="xsd:string" nillable="true"/>
            </xsd:sequence>
          </xsd:extension>
        </xsd:complexContent>
      </xsd:complexType>
    </xsd:element>
    <xsd:element name="PublishingPageLayout" ma:index="15" nillable="true" ma:displayName="Page Layout" ma:internalName="PublishingPageLayout"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PublishingVariationGroupID" ma:index="16" nillable="true" ma:displayName="Variation Group ID" ma:hidden="true" ma:internalName="PublishingVariationGroupID">
      <xsd:simpleType>
        <xsd:restriction base="dms:Text">
          <xsd:maxLength value="255"/>
        </xsd:restriction>
      </xsd:simpleType>
    </xsd:element>
    <xsd:element name="PublishingVariationRelationshipLinkFieldID" ma:index="17" nillable="true" ma:displayName="Variation Relationship Link" ma:hidden="true" ma:internalName="PublishingVariationRelationshipLinkFieldID">
      <xsd:complexType>
        <xsd:complexContent>
          <xsd:extension base="dms:URL">
            <xsd:sequence>
              <xsd:element name="Url" type="dms:ValidUrl" minOccurs="0" nillable="true"/>
              <xsd:element name="Description" type="xsd:string" nillable="true"/>
            </xsd:sequence>
          </xsd:extension>
        </xsd:complexContent>
      </xsd:complexType>
    </xsd:element>
    <xsd:element name="PublishingRollupImage" ma:index="18" nillable="true" ma:displayName="Rollup Image" ma:internalName="PublishingRollupImage">
      <xsd:simpleType>
        <xsd:restriction base="dms:Unknown"/>
      </xsd:simpleType>
    </xsd:element>
    <xsd:element name="Audience" ma:index="19" nillable="true" ma:displayName="Target Audiences" ma:description="" ma:internalName="Audienc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79e7c47d-1374-4efb-84fe-af3625726193" elementFormDefault="qualified">
    <xsd:import namespace="http://schemas.microsoft.com/office/2006/documentManagement/types"/>
    <xsd:import namespace="http://schemas.microsoft.com/office/infopath/2007/PartnerControls"/>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BD96C18-5179-41CE-9BF5-9BB82B34D754}">
  <ds:schemaRefs>
    <ds:schemaRef ds:uri="http://schemas.microsoft.com/sharepoint/events"/>
  </ds:schemaRefs>
</ds:datastoreItem>
</file>

<file path=customXml/itemProps2.xml><?xml version="1.0" encoding="utf-8"?>
<ds:datastoreItem xmlns:ds="http://schemas.openxmlformats.org/officeDocument/2006/customXml" ds:itemID="{85BFF0BC-E779-4D06-860E-30CACA54C22B}">
  <ds:schemaRefs>
    <ds:schemaRef ds:uri="http://purl.org/dc/dcmitype/"/>
    <ds:schemaRef ds:uri="http://schemas.openxmlformats.org/package/2006/metadata/core-properties"/>
    <ds:schemaRef ds:uri="http://purl.org/dc/elements/1.1/"/>
    <ds:schemaRef ds:uri="http://schemas.microsoft.com/office/2006/metadata/properties"/>
    <ds:schemaRef ds:uri="http://schemas.microsoft.com/office/2006/documentManagement/types"/>
    <ds:schemaRef ds:uri="79e7c47d-1374-4efb-84fe-af3625726193"/>
    <ds:schemaRef ds:uri="http://www.w3.org/XML/1998/namespace"/>
    <ds:schemaRef ds:uri="http://schemas.microsoft.com/office/infopath/2007/PartnerControls"/>
    <ds:schemaRef ds:uri="http://schemas.microsoft.com/sharepoint/v3"/>
    <ds:schemaRef ds:uri="http://purl.org/dc/terms/"/>
  </ds:schemaRefs>
</ds:datastoreItem>
</file>

<file path=customXml/itemProps3.xml><?xml version="1.0" encoding="utf-8"?>
<ds:datastoreItem xmlns:ds="http://schemas.openxmlformats.org/officeDocument/2006/customXml" ds:itemID="{1DA1C6B5-F554-45AC-8E29-3CAB5C889F2F}">
  <ds:schemaRefs>
    <ds:schemaRef ds:uri="http://schemas.microsoft.com/sharepoint/v3/contenttype/forms"/>
  </ds:schemaRefs>
</ds:datastoreItem>
</file>

<file path=customXml/itemProps4.xml><?xml version="1.0" encoding="utf-8"?>
<ds:datastoreItem xmlns:ds="http://schemas.openxmlformats.org/officeDocument/2006/customXml" ds:itemID="{6EA3D318-9AFD-4B41-BEC4-00F9834928D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9e7c47d-1374-4efb-84fe-af36257261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Cover</vt:lpstr>
      <vt:lpstr>Customer Worksheet</vt:lpstr>
      <vt:lpstr>DOF</vt:lpstr>
      <vt:lpstr>Cover!Print_Area</vt:lpstr>
    </vt:vector>
  </TitlesOfParts>
  <Company>Qualcomm, Incorporated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ASW Excel template</dc:title>
  <dc:creator>Qualcomm User</dc:creator>
  <cp:lastModifiedBy>Lei (Lei) Zhang 张磊</cp:lastModifiedBy>
  <cp:lastPrinted>2014-05-28T20:50:00Z</cp:lastPrinted>
  <dcterms:created xsi:type="dcterms:W3CDTF">2005-05-15T00:34:16Z</dcterms:created>
  <dcterms:modified xsi:type="dcterms:W3CDTF">2014-09-28T11:02:18Z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0x010100C568DB52D9D0A14D9B2FDCC96666E9F2007948130EC3DB064584E219954237AF390074929ACCF5926F4B8F0AF3045F45E946</vt:lpwstr>
  </property>
  <property fmtid="{D5CDD505-2E9C-101B-9397-08002B2CF9AE}" pid="4" name="_dlc_DocIdItemGuid">
    <vt:lpwstr>1a3d2fab-04fb-41c0-a102-9efe97b1cbe2</vt:lpwstr>
  </property>
  <property fmtid="{D5CDD505-2E9C-101B-9397-08002B2CF9AE}" pid="5" name="Order">
    <vt:r8>13400</vt:r8>
  </property>
  <property fmtid="{D5CDD505-2E9C-101B-9397-08002B2CF9AE}" pid="6" name="Department-specific?">
    <vt:lpwstr>Yes</vt:lpwstr>
  </property>
</Properties>
</file>