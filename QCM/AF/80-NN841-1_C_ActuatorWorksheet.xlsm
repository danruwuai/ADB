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AB6798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dennish\Documents\Projects\Camera\Docs\"/>
    </mc:Choice>
  </mc:AlternateContent>
  <bookViews>
    <workbookView xWindow="-15" yWindow="45" windowWidth="15105" windowHeight="6840" tabRatio="783"/>
  </bookViews>
  <sheets>
    <sheet name="Cover" sheetId="43" r:id="rId1"/>
    <sheet name="Instructions_unidirectional" sheetId="59" r:id="rId2"/>
    <sheet name="Customer_sheet_unidirectional" sheetId="44" r:id="rId3"/>
    <sheet name="DOF_unidirectional_actuator" sheetId="45" r:id="rId4"/>
    <sheet name="Instructions_bidirectional" sheetId="57" r:id="rId5"/>
    <sheet name="Customer_sheet_bidirectional" sheetId="51" r:id="rId6"/>
    <sheet name="DAC_to_Logical_index" sheetId="52" r:id="rId7"/>
    <sheet name="DOF_bidirectional_actuator" sheetId="53" r:id="rId8"/>
    <sheet name="Depth_of_field_calc" sheetId="54" r:id="rId9"/>
  </sheets>
  <functionGroups builtInGroupCount="18"/>
  <externalReferences>
    <externalReference r:id="rId10"/>
  </externalReferences>
  <definedNames>
    <definedName name="_xlnm.Print_Area" localSheetId="0">Cover!$A$1:$A$19</definedName>
    <definedName name="_xlnm.Print_Area" localSheetId="4">Instructions_bidirectional!$A$1:$E$19</definedName>
    <definedName name="_xlnm.Print_Area" localSheetId="1">Instructions_unidirectional!$A$1:$E$12</definedName>
  </definedNames>
  <calcPr calcId="152511"/>
</workbook>
</file>

<file path=xl/calcChain.xml><?xml version="1.0" encoding="utf-8"?>
<calcChain xmlns="http://schemas.openxmlformats.org/spreadsheetml/2006/main">
  <c r="D20" i="44" l="1"/>
  <c r="D8" i="44"/>
  <c r="B38" i="51" l="1"/>
  <c r="B13" i="51"/>
  <c r="B23" i="51" l="1"/>
  <c r="B25" i="51" s="1"/>
  <c r="B22" i="51"/>
  <c r="B24" i="51" s="1"/>
  <c r="B14" i="51"/>
  <c r="B26" i="51" l="1"/>
  <c r="D3" i="54"/>
  <c r="C19" i="51" l="1"/>
  <c r="C18" i="51"/>
  <c r="D20" i="51"/>
  <c r="C4" i="52" l="1"/>
  <c r="D3" i="53" l="1"/>
  <c r="F4" i="53"/>
  <c r="F3" i="53"/>
  <c r="B43" i="51" l="1"/>
  <c r="H4" i="53"/>
  <c r="D4" i="53" l="1"/>
  <c r="J14" i="53" l="1"/>
  <c r="B71" i="51" s="1"/>
  <c r="B83" i="51" s="1"/>
  <c r="J31" i="53"/>
  <c r="D5" i="53"/>
  <c r="D6" i="53" s="1"/>
  <c r="C15" i="53"/>
  <c r="C16" i="53"/>
  <c r="C17" i="53"/>
  <c r="C18" i="53"/>
  <c r="C19" i="53"/>
  <c r="C20" i="53"/>
  <c r="C21" i="53"/>
  <c r="C22" i="53"/>
  <c r="C23" i="53"/>
  <c r="C24" i="53"/>
  <c r="C25" i="53"/>
  <c r="C26" i="53"/>
  <c r="C27" i="53"/>
  <c r="B28" i="53"/>
  <c r="C28" i="53" s="1"/>
  <c r="B29" i="53"/>
  <c r="C29" i="53" s="1"/>
  <c r="C3" i="52"/>
  <c r="D9" i="52"/>
  <c r="D10" i="52" s="1"/>
  <c r="D11" i="52" s="1"/>
  <c r="D12" i="52" s="1"/>
  <c r="D13" i="52" s="1"/>
  <c r="D14" i="52" s="1"/>
  <c r="D15" i="52" s="1"/>
  <c r="D16" i="52" s="1"/>
  <c r="D17" i="52" s="1"/>
  <c r="D18" i="52" s="1"/>
  <c r="D19" i="52" s="1"/>
  <c r="D20" i="52" s="1"/>
  <c r="D21" i="52" s="1"/>
  <c r="D22" i="52" s="1"/>
  <c r="D23" i="52" s="1"/>
  <c r="D24" i="52" s="1"/>
  <c r="D25" i="52" s="1"/>
  <c r="D26" i="52" s="1"/>
  <c r="D27" i="52" s="1"/>
  <c r="D28" i="52" s="1"/>
  <c r="D29" i="52" s="1"/>
  <c r="D30" i="52" s="1"/>
  <c r="D31" i="52" s="1"/>
  <c r="D32" i="52" s="1"/>
  <c r="D33" i="52" s="1"/>
  <c r="D34" i="52" s="1"/>
  <c r="D35" i="52" s="1"/>
  <c r="D36" i="52" s="1"/>
  <c r="D37" i="52" s="1"/>
  <c r="D38" i="52" s="1"/>
  <c r="D39" i="52" s="1"/>
  <c r="D40" i="52" s="1"/>
  <c r="D41" i="52" s="1"/>
  <c r="D42" i="52" s="1"/>
  <c r="D43" i="52" s="1"/>
  <c r="D44" i="52" s="1"/>
  <c r="D45" i="52" s="1"/>
  <c r="D46" i="52" s="1"/>
  <c r="D47" i="52" s="1"/>
  <c r="D48" i="52" s="1"/>
  <c r="D49" i="52" s="1"/>
  <c r="D50" i="52" s="1"/>
  <c r="D51" i="52" s="1"/>
  <c r="D52" i="52" s="1"/>
  <c r="D53" i="52" s="1"/>
  <c r="D54" i="52" s="1"/>
  <c r="D55" i="52" s="1"/>
  <c r="D56" i="52" s="1"/>
  <c r="D57" i="52" s="1"/>
  <c r="D58" i="52" s="1"/>
  <c r="D59" i="52" s="1"/>
  <c r="D60" i="52" s="1"/>
  <c r="D61" i="52" s="1"/>
  <c r="D62" i="52" s="1"/>
  <c r="D63" i="52" s="1"/>
  <c r="D64" i="52" s="1"/>
  <c r="D65" i="52" s="1"/>
  <c r="D66" i="52" s="1"/>
  <c r="D67" i="52" s="1"/>
  <c r="D68" i="52" s="1"/>
  <c r="D69" i="52" s="1"/>
  <c r="D70" i="52" s="1"/>
  <c r="D71" i="52" s="1"/>
  <c r="D72" i="52" s="1"/>
  <c r="D73" i="52" s="1"/>
  <c r="D74" i="52" s="1"/>
  <c r="D75" i="52" s="1"/>
  <c r="D76" i="52" s="1"/>
  <c r="D77" i="52" s="1"/>
  <c r="D78" i="52" s="1"/>
  <c r="D79" i="52" s="1"/>
  <c r="D80" i="52" s="1"/>
  <c r="D81" i="52" s="1"/>
  <c r="D82" i="52" s="1"/>
  <c r="D83" i="52" s="1"/>
  <c r="D84" i="52" s="1"/>
  <c r="D85" i="52" s="1"/>
  <c r="D86" i="52" s="1"/>
  <c r="D87" i="52" s="1"/>
  <c r="D88" i="52" s="1"/>
  <c r="D89" i="52" s="1"/>
  <c r="D90" i="52" s="1"/>
  <c r="D91" i="52" s="1"/>
  <c r="D92" i="52" s="1"/>
  <c r="D93" i="52" s="1"/>
  <c r="D94" i="52" s="1"/>
  <c r="D95" i="52" s="1"/>
  <c r="D96" i="52" s="1"/>
  <c r="D97" i="52" s="1"/>
  <c r="D98" i="52" s="1"/>
  <c r="D99" i="52" s="1"/>
  <c r="D100" i="52" s="1"/>
  <c r="D101" i="52" s="1"/>
  <c r="D102" i="52" s="1"/>
  <c r="D103" i="52" s="1"/>
  <c r="D104" i="52" s="1"/>
  <c r="D105" i="52" s="1"/>
  <c r="D106" i="52" s="1"/>
  <c r="D107" i="52" s="1"/>
  <c r="D108" i="52" s="1"/>
  <c r="D109" i="52" s="1"/>
  <c r="D110" i="52" s="1"/>
  <c r="D111" i="52" s="1"/>
  <c r="D112" i="52" s="1"/>
  <c r="D113" i="52" s="1"/>
  <c r="D114" i="52" s="1"/>
  <c r="D115" i="52" s="1"/>
  <c r="D116" i="52" s="1"/>
  <c r="D117" i="52" s="1"/>
  <c r="D118" i="52" s="1"/>
  <c r="D119" i="52" s="1"/>
  <c r="D120" i="52" s="1"/>
  <c r="D121" i="52" s="1"/>
  <c r="D122" i="52" s="1"/>
  <c r="D123" i="52" s="1"/>
  <c r="D124" i="52" s="1"/>
  <c r="D125" i="52" s="1"/>
  <c r="D126" i="52" s="1"/>
  <c r="D127" i="52" s="1"/>
  <c r="D128" i="52" s="1"/>
  <c r="D129" i="52" s="1"/>
  <c r="D130" i="52" s="1"/>
  <c r="D131" i="52" s="1"/>
  <c r="D132" i="52" s="1"/>
  <c r="D133" i="52" s="1"/>
  <c r="D134" i="52" s="1"/>
  <c r="D135" i="52" s="1"/>
  <c r="D136" i="52" s="1"/>
  <c r="D137" i="52" s="1"/>
  <c r="D138" i="52" s="1"/>
  <c r="D139" i="52" s="1"/>
  <c r="D140" i="52" s="1"/>
  <c r="D141" i="52" s="1"/>
  <c r="D142" i="52" s="1"/>
  <c r="D143" i="52" s="1"/>
  <c r="D144" i="52" s="1"/>
  <c r="D145" i="52" s="1"/>
  <c r="D146" i="52" s="1"/>
  <c r="D147" i="52" s="1"/>
  <c r="D148" i="52" s="1"/>
  <c r="D149" i="52" s="1"/>
  <c r="D150" i="52" s="1"/>
  <c r="D151" i="52" s="1"/>
  <c r="D152" i="52" s="1"/>
  <c r="D153" i="52" s="1"/>
  <c r="D154" i="52" s="1"/>
  <c r="D155" i="52" s="1"/>
  <c r="D156" i="52" s="1"/>
  <c r="D157" i="52" s="1"/>
  <c r="D158" i="52" s="1"/>
  <c r="D159" i="52" s="1"/>
  <c r="D160" i="52" s="1"/>
  <c r="D161" i="52" s="1"/>
  <c r="D162" i="52" s="1"/>
  <c r="D163" i="52" s="1"/>
  <c r="D164" i="52" s="1"/>
  <c r="D165" i="52" s="1"/>
  <c r="D166" i="52" s="1"/>
  <c r="D167" i="52" s="1"/>
  <c r="D168" i="52" s="1"/>
  <c r="D169" i="52" s="1"/>
  <c r="D170" i="52" s="1"/>
  <c r="D171" i="52" s="1"/>
  <c r="D172" i="52" s="1"/>
  <c r="D173" i="52" s="1"/>
  <c r="D174" i="52" s="1"/>
  <c r="D175" i="52" s="1"/>
  <c r="D176" i="52" s="1"/>
  <c r="D177" i="52" s="1"/>
  <c r="D178" i="52" s="1"/>
  <c r="D179" i="52" s="1"/>
  <c r="D180" i="52" s="1"/>
  <c r="D181" i="52" s="1"/>
  <c r="D182" i="52" s="1"/>
  <c r="D183" i="52" s="1"/>
  <c r="D184" i="52" s="1"/>
  <c r="D185" i="52" s="1"/>
  <c r="D186" i="52" s="1"/>
  <c r="D187" i="52" s="1"/>
  <c r="D188" i="52" s="1"/>
  <c r="D189" i="52" s="1"/>
  <c r="D190" i="52" s="1"/>
  <c r="D191" i="52" s="1"/>
  <c r="D192" i="52" s="1"/>
  <c r="D193" i="52" s="1"/>
  <c r="D194" i="52" s="1"/>
  <c r="D195" i="52" s="1"/>
  <c r="D196" i="52" s="1"/>
  <c r="D197" i="52" s="1"/>
  <c r="D198" i="52" s="1"/>
  <c r="D199" i="52" s="1"/>
  <c r="D200" i="52" s="1"/>
  <c r="D201" i="52" s="1"/>
  <c r="D202" i="52" s="1"/>
  <c r="D203" i="52" s="1"/>
  <c r="D204" i="52" s="1"/>
  <c r="D205" i="52" s="1"/>
  <c r="D206" i="52" s="1"/>
  <c r="D207" i="52" s="1"/>
  <c r="D208" i="52" s="1"/>
  <c r="D209" i="52" s="1"/>
  <c r="D210" i="52" s="1"/>
  <c r="D211" i="52" s="1"/>
  <c r="D212" i="52" s="1"/>
  <c r="D213" i="52" s="1"/>
  <c r="D214" i="52" s="1"/>
  <c r="D215" i="52" s="1"/>
  <c r="D216" i="52" s="1"/>
  <c r="D217" i="52" s="1"/>
  <c r="D218" i="52" s="1"/>
  <c r="D219" i="52" s="1"/>
  <c r="D220" i="52" s="1"/>
  <c r="D221" i="52" s="1"/>
  <c r="D222" i="52" s="1"/>
  <c r="D223" i="52" s="1"/>
  <c r="D224" i="52" s="1"/>
  <c r="D225" i="52" s="1"/>
  <c r="D226" i="52" s="1"/>
  <c r="D227" i="52" s="1"/>
  <c r="D228" i="52" s="1"/>
  <c r="D229" i="52" s="1"/>
  <c r="D230" i="52" s="1"/>
  <c r="D231" i="52" s="1"/>
  <c r="D232" i="52" s="1"/>
  <c r="D233" i="52" s="1"/>
  <c r="D234" i="52" s="1"/>
  <c r="D235" i="52" s="1"/>
  <c r="D236" i="52" s="1"/>
  <c r="D237" i="52" s="1"/>
  <c r="D238" i="52" s="1"/>
  <c r="D239" i="52" s="1"/>
  <c r="D240" i="52" s="1"/>
  <c r="D241" i="52" s="1"/>
  <c r="D242" i="52" s="1"/>
  <c r="D243" i="52" s="1"/>
  <c r="D244" i="52" s="1"/>
  <c r="D245" i="52" s="1"/>
  <c r="D246" i="52" s="1"/>
  <c r="D247" i="52" s="1"/>
  <c r="D248" i="52" s="1"/>
  <c r="D249" i="52" s="1"/>
  <c r="D250" i="52" s="1"/>
  <c r="D251" i="52" s="1"/>
  <c r="D252" i="52" s="1"/>
  <c r="D253" i="52" s="1"/>
  <c r="D254" i="52" s="1"/>
  <c r="D255" i="52" s="1"/>
  <c r="D256" i="52" s="1"/>
  <c r="D257" i="52" s="1"/>
  <c r="D258" i="52" s="1"/>
  <c r="D259" i="52" s="1"/>
  <c r="D260" i="52" s="1"/>
  <c r="D261" i="52" s="1"/>
  <c r="D262" i="52" s="1"/>
  <c r="D263" i="52" s="1"/>
  <c r="D264" i="52" s="1"/>
  <c r="D265" i="52" s="1"/>
  <c r="D266" i="52" s="1"/>
  <c r="D267" i="52" s="1"/>
  <c r="D268" i="52" s="1"/>
  <c r="D269" i="52" s="1"/>
  <c r="D270" i="52" s="1"/>
  <c r="D271" i="52" s="1"/>
  <c r="D272" i="52" s="1"/>
  <c r="D273" i="52" s="1"/>
  <c r="D274" i="52" s="1"/>
  <c r="D275" i="52" s="1"/>
  <c r="D276" i="52" s="1"/>
  <c r="D277" i="52" s="1"/>
  <c r="D278" i="52" s="1"/>
  <c r="D279" i="52" s="1"/>
  <c r="D280" i="52" s="1"/>
  <c r="D281" i="52" s="1"/>
  <c r="D282" i="52" s="1"/>
  <c r="D283" i="52" s="1"/>
  <c r="D284" i="52" s="1"/>
  <c r="D285" i="52" s="1"/>
  <c r="D286" i="52" s="1"/>
  <c r="D287" i="52" s="1"/>
  <c r="D288" i="52" s="1"/>
  <c r="D289" i="52" s="1"/>
  <c r="D290" i="52" s="1"/>
  <c r="D291" i="52" s="1"/>
  <c r="D292" i="52" s="1"/>
  <c r="D293" i="52" s="1"/>
  <c r="D294" i="52" s="1"/>
  <c r="D295" i="52" s="1"/>
  <c r="D296" i="52" s="1"/>
  <c r="D297" i="52" s="1"/>
  <c r="D298" i="52" s="1"/>
  <c r="D299" i="52" s="1"/>
  <c r="D300" i="52" s="1"/>
  <c r="D301" i="52" s="1"/>
  <c r="D302" i="52" s="1"/>
  <c r="D303" i="52" s="1"/>
  <c r="D304" i="52" s="1"/>
  <c r="D305" i="52" s="1"/>
  <c r="D306" i="52" s="1"/>
  <c r="D307" i="52" s="1"/>
  <c r="D308" i="52" s="1"/>
  <c r="D309" i="52" s="1"/>
  <c r="D310" i="52" s="1"/>
  <c r="D311" i="52" s="1"/>
  <c r="D312" i="52" s="1"/>
  <c r="D313" i="52" s="1"/>
  <c r="D314" i="52" s="1"/>
  <c r="D315" i="52" s="1"/>
  <c r="D316" i="52" s="1"/>
  <c r="D317" i="52" s="1"/>
  <c r="D318" i="52" s="1"/>
  <c r="D319" i="52" s="1"/>
  <c r="D320" i="52" s="1"/>
  <c r="D321" i="52" s="1"/>
  <c r="D322" i="52" s="1"/>
  <c r="D323" i="52" s="1"/>
  <c r="D324" i="52" s="1"/>
  <c r="D325" i="52" s="1"/>
  <c r="D326" i="52" s="1"/>
  <c r="D327" i="52" s="1"/>
  <c r="D328" i="52" s="1"/>
  <c r="D329" i="52" s="1"/>
  <c r="D330" i="52" s="1"/>
  <c r="D331" i="52" s="1"/>
  <c r="D332" i="52" s="1"/>
  <c r="B46" i="51"/>
  <c r="B47" i="51" s="1"/>
  <c r="F120" i="52" l="1"/>
  <c r="L3" i="53"/>
  <c r="D4" i="54" s="1"/>
  <c r="D5" i="54"/>
  <c r="H6" i="53"/>
  <c r="H5" i="53"/>
  <c r="E27" i="53"/>
  <c r="D26" i="53"/>
  <c r="E28" i="53"/>
  <c r="E29" i="53"/>
  <c r="D28" i="53"/>
  <c r="D27" i="53"/>
  <c r="E24" i="53"/>
  <c r="E22" i="53"/>
  <c r="E20" i="53"/>
  <c r="E18" i="53"/>
  <c r="E16" i="53"/>
  <c r="E25" i="53"/>
  <c r="D29" i="53"/>
  <c r="E26" i="53"/>
  <c r="D25" i="53"/>
  <c r="D23" i="53"/>
  <c r="D21" i="53"/>
  <c r="D19" i="53"/>
  <c r="D17" i="53"/>
  <c r="D15" i="53"/>
  <c r="F329" i="52"/>
  <c r="F321" i="52"/>
  <c r="F312" i="52"/>
  <c r="F303" i="52"/>
  <c r="F296" i="52"/>
  <c r="F287" i="52"/>
  <c r="F280" i="52"/>
  <c r="F262" i="52"/>
  <c r="F255" i="52"/>
  <c r="F235" i="52"/>
  <c r="F192" i="52"/>
  <c r="F330" i="52"/>
  <c r="F326" i="52"/>
  <c r="F322" i="52"/>
  <c r="F318" i="52"/>
  <c r="F315" i="52"/>
  <c r="F308" i="52"/>
  <c r="F306" i="52"/>
  <c r="F299" i="52"/>
  <c r="F292" i="52"/>
  <c r="F290" i="52"/>
  <c r="F283" i="52"/>
  <c r="F276" i="52"/>
  <c r="F274" i="52"/>
  <c r="F267" i="52"/>
  <c r="F260" i="52"/>
  <c r="F258" i="52"/>
  <c r="F251" i="52"/>
  <c r="F240" i="52"/>
  <c r="F232" i="52"/>
  <c r="F228" i="52"/>
  <c r="F212" i="52"/>
  <c r="F196" i="52"/>
  <c r="F180" i="52"/>
  <c r="F164" i="52"/>
  <c r="F148" i="52"/>
  <c r="F132" i="52"/>
  <c r="F323" i="52"/>
  <c r="F319" i="52"/>
  <c r="F311" i="52"/>
  <c r="F304" i="52"/>
  <c r="F302" i="52"/>
  <c r="F295" i="52"/>
  <c r="F288" i="52"/>
  <c r="F286" i="52"/>
  <c r="F279" i="52"/>
  <c r="F272" i="52"/>
  <c r="F270" i="52"/>
  <c r="F263" i="52"/>
  <c r="F256" i="52"/>
  <c r="F254" i="52"/>
  <c r="F247" i="52"/>
  <c r="F239" i="52"/>
  <c r="F231" i="52"/>
  <c r="F216" i="52"/>
  <c r="F200" i="52"/>
  <c r="F184" i="52"/>
  <c r="F168" i="52"/>
  <c r="F152" i="52"/>
  <c r="F136" i="52"/>
  <c r="F9" i="52"/>
  <c r="F13" i="52"/>
  <c r="F17" i="52"/>
  <c r="F21" i="52"/>
  <c r="F25" i="52"/>
  <c r="F8" i="52"/>
  <c r="F15" i="52"/>
  <c r="F22" i="52"/>
  <c r="F24" i="52"/>
  <c r="F27" i="52"/>
  <c r="F31" i="52"/>
  <c r="F35" i="52"/>
  <c r="F39" i="52"/>
  <c r="F43" i="52"/>
  <c r="F47" i="52"/>
  <c r="F51" i="52"/>
  <c r="F55" i="52"/>
  <c r="F59" i="52"/>
  <c r="F63" i="52"/>
  <c r="F14" i="52"/>
  <c r="F16" i="52"/>
  <c r="F23" i="52"/>
  <c r="F29" i="52"/>
  <c r="F33" i="52"/>
  <c r="F37" i="52"/>
  <c r="F41" i="52"/>
  <c r="F45" i="52"/>
  <c r="F49" i="52"/>
  <c r="F53" i="52"/>
  <c r="F12" i="52"/>
  <c r="F19" i="52"/>
  <c r="F26" i="52"/>
  <c r="F34" i="52"/>
  <c r="F42" i="52"/>
  <c r="F50" i="52"/>
  <c r="F60" i="52"/>
  <c r="F62" i="52"/>
  <c r="F68" i="52"/>
  <c r="F72" i="52"/>
  <c r="F76" i="52"/>
  <c r="F80" i="52"/>
  <c r="F84" i="52"/>
  <c r="F88" i="52"/>
  <c r="F92" i="52"/>
  <c r="F96" i="52"/>
  <c r="F100" i="52"/>
  <c r="F104" i="52"/>
  <c r="F108" i="52"/>
  <c r="F112" i="52"/>
  <c r="F116" i="52"/>
  <c r="F20" i="52"/>
  <c r="F32" i="52"/>
  <c r="F40" i="52"/>
  <c r="F48" i="52"/>
  <c r="F57" i="52"/>
  <c r="F64" i="52"/>
  <c r="F67" i="52"/>
  <c r="F71" i="52"/>
  <c r="F75" i="52"/>
  <c r="F79" i="52"/>
  <c r="F83" i="52"/>
  <c r="F87" i="52"/>
  <c r="F91" i="52"/>
  <c r="F95" i="52"/>
  <c r="F99" i="52"/>
  <c r="F103" i="52"/>
  <c r="F107" i="52"/>
  <c r="F111" i="52"/>
  <c r="F115" i="52"/>
  <c r="F10" i="52"/>
  <c r="F30" i="52"/>
  <c r="F38" i="52"/>
  <c r="F46" i="52"/>
  <c r="F54" i="52"/>
  <c r="F61" i="52"/>
  <c r="F66" i="52"/>
  <c r="F70" i="52"/>
  <c r="F74" i="52"/>
  <c r="F78" i="52"/>
  <c r="F82" i="52"/>
  <c r="F86" i="52"/>
  <c r="F90" i="52"/>
  <c r="F94" i="52"/>
  <c r="F98" i="52"/>
  <c r="F102" i="52"/>
  <c r="F106" i="52"/>
  <c r="F110" i="52"/>
  <c r="F114" i="52"/>
  <c r="F11" i="52"/>
  <c r="F18" i="52"/>
  <c r="F28" i="52"/>
  <c r="F36" i="52"/>
  <c r="F44" i="52"/>
  <c r="F52" i="52"/>
  <c r="F56" i="52"/>
  <c r="F58" i="52"/>
  <c r="F65" i="52"/>
  <c r="F69" i="52"/>
  <c r="F73" i="52"/>
  <c r="F77" i="52"/>
  <c r="F81" i="52"/>
  <c r="F85" i="52"/>
  <c r="F89" i="52"/>
  <c r="F93" i="52"/>
  <c r="F97" i="52"/>
  <c r="F101" i="52"/>
  <c r="F105" i="52"/>
  <c r="F109" i="52"/>
  <c r="F113" i="52"/>
  <c r="F117" i="52"/>
  <c r="F119" i="52"/>
  <c r="F123" i="52"/>
  <c r="F127" i="52"/>
  <c r="F131" i="52"/>
  <c r="F135" i="52"/>
  <c r="F139" i="52"/>
  <c r="F143" i="52"/>
  <c r="F147" i="52"/>
  <c r="F151" i="52"/>
  <c r="F155" i="52"/>
  <c r="F159" i="52"/>
  <c r="F163" i="52"/>
  <c r="F167" i="52"/>
  <c r="F171" i="52"/>
  <c r="F175" i="52"/>
  <c r="F179" i="52"/>
  <c r="F183" i="52"/>
  <c r="F187" i="52"/>
  <c r="F191" i="52"/>
  <c r="F195" i="52"/>
  <c r="F199" i="52"/>
  <c r="F203" i="52"/>
  <c r="F207" i="52"/>
  <c r="F211" i="52"/>
  <c r="F215" i="52"/>
  <c r="F219" i="52"/>
  <c r="F223" i="52"/>
  <c r="F227" i="52"/>
  <c r="F122" i="52"/>
  <c r="F126" i="52"/>
  <c r="F130" i="52"/>
  <c r="F134" i="52"/>
  <c r="F138" i="52"/>
  <c r="F142" i="52"/>
  <c r="F146" i="52"/>
  <c r="F150" i="52"/>
  <c r="F154" i="52"/>
  <c r="F158" i="52"/>
  <c r="F162" i="52"/>
  <c r="F166" i="52"/>
  <c r="F170" i="52"/>
  <c r="F174" i="52"/>
  <c r="F178" i="52"/>
  <c r="F182" i="52"/>
  <c r="F186" i="52"/>
  <c r="F190" i="52"/>
  <c r="F194" i="52"/>
  <c r="F198" i="52"/>
  <c r="F202" i="52"/>
  <c r="F206" i="52"/>
  <c r="F210" i="52"/>
  <c r="F214" i="52"/>
  <c r="F218" i="52"/>
  <c r="F222" i="52"/>
  <c r="F226" i="52"/>
  <c r="F230" i="52"/>
  <c r="F234" i="52"/>
  <c r="F238" i="52"/>
  <c r="F242" i="52"/>
  <c r="F246" i="52"/>
  <c r="F118" i="52"/>
  <c r="F121" i="52"/>
  <c r="F125" i="52"/>
  <c r="F129" i="52"/>
  <c r="F133" i="52"/>
  <c r="F137" i="52"/>
  <c r="F141" i="52"/>
  <c r="F145" i="52"/>
  <c r="F149" i="52"/>
  <c r="F153" i="52"/>
  <c r="F157" i="52"/>
  <c r="F161" i="52"/>
  <c r="F165" i="52"/>
  <c r="F169" i="52"/>
  <c r="F173" i="52"/>
  <c r="F177" i="52"/>
  <c r="F181" i="52"/>
  <c r="F185" i="52"/>
  <c r="F189" i="52"/>
  <c r="F193" i="52"/>
  <c r="F197" i="52"/>
  <c r="F201" i="52"/>
  <c r="F205" i="52"/>
  <c r="F209" i="52"/>
  <c r="F213" i="52"/>
  <c r="F217" i="52"/>
  <c r="F221" i="52"/>
  <c r="F225" i="52"/>
  <c r="F229" i="52"/>
  <c r="F233" i="52"/>
  <c r="F237" i="52"/>
  <c r="F241" i="52"/>
  <c r="F245" i="52"/>
  <c r="F249" i="52"/>
  <c r="F253" i="52"/>
  <c r="F257" i="52"/>
  <c r="F261" i="52"/>
  <c r="F265" i="52"/>
  <c r="F269" i="52"/>
  <c r="F273" i="52"/>
  <c r="F277" i="52"/>
  <c r="F281" i="52"/>
  <c r="F285" i="52"/>
  <c r="F289" i="52"/>
  <c r="F293" i="52"/>
  <c r="F297" i="52"/>
  <c r="F301" i="52"/>
  <c r="F305" i="52"/>
  <c r="F309" i="52"/>
  <c r="F313" i="52"/>
  <c r="F331" i="52"/>
  <c r="F327" i="52"/>
  <c r="F332" i="52"/>
  <c r="F328" i="52"/>
  <c r="F324" i="52"/>
  <c r="F320" i="52"/>
  <c r="F316" i="52"/>
  <c r="F314" i="52"/>
  <c r="F307" i="52"/>
  <c r="F300" i="52"/>
  <c r="F298" i="52"/>
  <c r="F291" i="52"/>
  <c r="F284" i="52"/>
  <c r="F282" i="52"/>
  <c r="F275" i="52"/>
  <c r="F268" i="52"/>
  <c r="F266" i="52"/>
  <c r="F259" i="52"/>
  <c r="F252" i="52"/>
  <c r="F250" i="52"/>
  <c r="F244" i="52"/>
  <c r="F236" i="52"/>
  <c r="F220" i="52"/>
  <c r="F204" i="52"/>
  <c r="F188" i="52"/>
  <c r="F172" i="52"/>
  <c r="F156" i="52"/>
  <c r="F140" i="52"/>
  <c r="F124" i="52"/>
  <c r="F325" i="52"/>
  <c r="F317" i="52"/>
  <c r="F310" i="52"/>
  <c r="F294" i="52"/>
  <c r="F278" i="52"/>
  <c r="F271" i="52"/>
  <c r="F264" i="52"/>
  <c r="F248" i="52"/>
  <c r="F243" i="52"/>
  <c r="F224" i="52"/>
  <c r="F208" i="52"/>
  <c r="F176" i="52"/>
  <c r="F160" i="52"/>
  <c r="F144" i="52"/>
  <c r="F128" i="52"/>
  <c r="B30" i="53"/>
  <c r="D24" i="53"/>
  <c r="E23" i="53"/>
  <c r="D20" i="53"/>
  <c r="E19" i="53"/>
  <c r="D16" i="53"/>
  <c r="E15" i="53"/>
  <c r="D22" i="53"/>
  <c r="E21" i="53"/>
  <c r="D18" i="53"/>
  <c r="E17" i="53"/>
  <c r="B33" i="45"/>
  <c r="B34" i="45" s="1"/>
  <c r="B35" i="45" s="1"/>
  <c r="B36" i="45" s="1"/>
  <c r="B37" i="45" s="1"/>
  <c r="B38" i="45" s="1"/>
  <c r="B39" i="45" s="1"/>
  <c r="B40" i="45" s="1"/>
  <c r="B41" i="45" s="1"/>
  <c r="B42" i="45" s="1"/>
  <c r="B43" i="45" s="1"/>
  <c r="B44" i="45" s="1"/>
  <c r="B45" i="45" s="1"/>
  <c r="B46" i="45" s="1"/>
  <c r="B47" i="45" s="1"/>
  <c r="B48" i="45" s="1"/>
  <c r="B49" i="45" s="1"/>
  <c r="B50" i="45" s="1"/>
  <c r="B51" i="45" s="1"/>
  <c r="B52" i="45" s="1"/>
  <c r="B53" i="45" s="1"/>
  <c r="B54" i="45" s="1"/>
  <c r="B55" i="45" s="1"/>
  <c r="B56" i="45" s="1"/>
  <c r="B57" i="45" s="1"/>
  <c r="B58" i="45" s="1"/>
  <c r="B59" i="45" s="1"/>
  <c r="B60" i="45" s="1"/>
  <c r="B61" i="45" s="1"/>
  <c r="B62" i="45" s="1"/>
  <c r="B63" i="45" s="1"/>
  <c r="B64" i="45" s="1"/>
  <c r="B65" i="45" s="1"/>
  <c r="B66" i="45" s="1"/>
  <c r="B67" i="45" s="1"/>
  <c r="B68" i="45" s="1"/>
  <c r="B69" i="45" s="1"/>
  <c r="B70" i="45" s="1"/>
  <c r="B71" i="45" s="1"/>
  <c r="B72" i="45" s="1"/>
  <c r="B73" i="45" s="1"/>
  <c r="B74" i="45" s="1"/>
  <c r="B75" i="45" s="1"/>
  <c r="B76" i="45" s="1"/>
  <c r="B77" i="45" s="1"/>
  <c r="F23" i="45"/>
  <c r="D42" i="44"/>
  <c r="D24" i="44"/>
  <c r="H3" i="45"/>
  <c r="E13" i="54" l="1"/>
  <c r="G13" i="54" s="1"/>
  <c r="B74" i="51"/>
  <c r="B29" i="51"/>
  <c r="B31" i="51" s="1"/>
  <c r="C30" i="53"/>
  <c r="B31" i="53"/>
  <c r="E30" i="53"/>
  <c r="D30" i="53"/>
  <c r="C77" i="45"/>
  <c r="F77" i="45" s="1"/>
  <c r="D6" i="45"/>
  <c r="J3" i="45" s="1"/>
  <c r="C20" i="45"/>
  <c r="C22" i="45"/>
  <c r="C39" i="45"/>
  <c r="C47" i="45"/>
  <c r="C55" i="45"/>
  <c r="C63" i="45"/>
  <c r="C71" i="45"/>
  <c r="C23" i="45"/>
  <c r="C35" i="45"/>
  <c r="F35" i="45" s="1"/>
  <c r="C45" i="45"/>
  <c r="F45" i="45" s="1"/>
  <c r="C53" i="45"/>
  <c r="C61" i="45"/>
  <c r="F61" i="45" s="1"/>
  <c r="C69" i="45"/>
  <c r="F69" i="45" s="1"/>
  <c r="C36" i="45"/>
  <c r="F36" i="45" s="1"/>
  <c r="C31" i="45"/>
  <c r="C76" i="45"/>
  <c r="F76" i="45" s="1"/>
  <c r="C74" i="45"/>
  <c r="F74" i="45" s="1"/>
  <c r="C72" i="45"/>
  <c r="C70" i="45"/>
  <c r="F70" i="45" s="1"/>
  <c r="C68" i="45"/>
  <c r="F68" i="45" s="1"/>
  <c r="C66" i="45"/>
  <c r="F66" i="45" s="1"/>
  <c r="C64" i="45"/>
  <c r="F64" i="45" s="1"/>
  <c r="C62" i="45"/>
  <c r="C60" i="45"/>
  <c r="F60" i="45" s="1"/>
  <c r="C58" i="45"/>
  <c r="F58" i="45" s="1"/>
  <c r="C56" i="45"/>
  <c r="C54" i="45"/>
  <c r="C52" i="45"/>
  <c r="F52" i="45" s="1"/>
  <c r="C50" i="45"/>
  <c r="F50" i="45" s="1"/>
  <c r="C48" i="45"/>
  <c r="F48" i="45" s="1"/>
  <c r="C46" i="45"/>
  <c r="C44" i="45"/>
  <c r="F44" i="45" s="1"/>
  <c r="C42" i="45"/>
  <c r="F42" i="45" s="1"/>
  <c r="C40" i="45"/>
  <c r="C37" i="45"/>
  <c r="F37" i="45" s="1"/>
  <c r="C33" i="45"/>
  <c r="F33" i="45" s="1"/>
  <c r="C30" i="45"/>
  <c r="F30" i="45" s="1"/>
  <c r="C28" i="45"/>
  <c r="C26" i="45"/>
  <c r="C24" i="45"/>
  <c r="F24" i="45" s="1"/>
  <c r="C38" i="45"/>
  <c r="F38" i="45" s="1"/>
  <c r="C34" i="45"/>
  <c r="C21" i="45"/>
  <c r="C25" i="45"/>
  <c r="F25" i="45" s="1"/>
  <c r="C29" i="45"/>
  <c r="F29" i="45" s="1"/>
  <c r="C32" i="45"/>
  <c r="C43" i="45"/>
  <c r="F43" i="45" s="1"/>
  <c r="C51" i="45"/>
  <c r="F51" i="45" s="1"/>
  <c r="C59" i="45"/>
  <c r="F59" i="45" s="1"/>
  <c r="C67" i="45"/>
  <c r="F67" i="45" s="1"/>
  <c r="C75" i="45"/>
  <c r="F79" i="45"/>
  <c r="F63" i="45"/>
  <c r="F32" i="45"/>
  <c r="F40" i="45"/>
  <c r="C27" i="45"/>
  <c r="C41" i="45"/>
  <c r="F41" i="45" s="1"/>
  <c r="C49" i="45"/>
  <c r="C57" i="45"/>
  <c r="C65" i="45"/>
  <c r="F65" i="45" s="1"/>
  <c r="C73" i="45"/>
  <c r="F73" i="45" s="1"/>
  <c r="F71" i="45" l="1"/>
  <c r="F13" i="54"/>
  <c r="E14" i="54" s="1"/>
  <c r="E8" i="52"/>
  <c r="B30" i="51"/>
  <c r="D31" i="53"/>
  <c r="B32" i="53"/>
  <c r="E31" i="53"/>
  <c r="C31" i="53"/>
  <c r="F55" i="45"/>
  <c r="F57" i="45"/>
  <c r="F27" i="45"/>
  <c r="F54" i="45"/>
  <c r="F72" i="45"/>
  <c r="F47" i="45"/>
  <c r="F75" i="45"/>
  <c r="F21" i="45"/>
  <c r="F26" i="45"/>
  <c r="F46" i="45"/>
  <c r="F62" i="45"/>
  <c r="F31" i="45"/>
  <c r="F53" i="45"/>
  <c r="F49" i="45"/>
  <c r="F56" i="45"/>
  <c r="F78" i="45"/>
  <c r="F39" i="45"/>
  <c r="F34" i="45"/>
  <c r="F28" i="45"/>
  <c r="D40" i="44"/>
  <c r="H4" i="45"/>
  <c r="H5" i="45" s="1"/>
  <c r="F22" i="45"/>
  <c r="D76" i="45"/>
  <c r="D74" i="45"/>
  <c r="D72" i="45"/>
  <c r="D70" i="45"/>
  <c r="D68" i="45"/>
  <c r="D66" i="45"/>
  <c r="D64" i="45"/>
  <c r="D62" i="45"/>
  <c r="D60" i="45"/>
  <c r="D58" i="45"/>
  <c r="D56" i="45"/>
  <c r="D54" i="45"/>
  <c r="D52" i="45"/>
  <c r="D50" i="45"/>
  <c r="D48" i="45"/>
  <c r="D46" i="45"/>
  <c r="D44" i="45"/>
  <c r="D42" i="45"/>
  <c r="D40" i="45"/>
  <c r="E38" i="45"/>
  <c r="D37" i="45"/>
  <c r="E34" i="45"/>
  <c r="D33" i="45"/>
  <c r="D30" i="45"/>
  <c r="D28" i="45"/>
  <c r="E77" i="45"/>
  <c r="E75" i="45"/>
  <c r="E73" i="45"/>
  <c r="E71" i="45"/>
  <c r="E69" i="45"/>
  <c r="E67" i="45"/>
  <c r="E65" i="45"/>
  <c r="E63" i="45"/>
  <c r="E61" i="45"/>
  <c r="E59" i="45"/>
  <c r="E57" i="45"/>
  <c r="E55" i="45"/>
  <c r="E53" i="45"/>
  <c r="E51" i="45"/>
  <c r="E49" i="45"/>
  <c r="E47" i="45"/>
  <c r="E45" i="45"/>
  <c r="E43" i="45"/>
  <c r="E41" i="45"/>
  <c r="E39" i="45"/>
  <c r="D38" i="45"/>
  <c r="E35" i="45"/>
  <c r="D34" i="45"/>
  <c r="E32" i="45"/>
  <c r="E29" i="45"/>
  <c r="E27" i="45"/>
  <c r="E25" i="45"/>
  <c r="E23" i="45"/>
  <c r="D77" i="45"/>
  <c r="D75" i="45"/>
  <c r="D73" i="45"/>
  <c r="D71" i="45"/>
  <c r="D69" i="45"/>
  <c r="D67" i="45"/>
  <c r="D65" i="45"/>
  <c r="D63" i="45"/>
  <c r="D61" i="45"/>
  <c r="D59" i="45"/>
  <c r="D57" i="45"/>
  <c r="D55" i="45"/>
  <c r="D53" i="45"/>
  <c r="D51" i="45"/>
  <c r="D49" i="45"/>
  <c r="D47" i="45"/>
  <c r="D45" i="45"/>
  <c r="D43" i="45"/>
  <c r="D41" i="45"/>
  <c r="D39" i="45"/>
  <c r="E36" i="45"/>
  <c r="D35" i="45"/>
  <c r="E70" i="45"/>
  <c r="E62" i="45"/>
  <c r="E54" i="45"/>
  <c r="E46" i="45"/>
  <c r="D36" i="45"/>
  <c r="D32" i="45"/>
  <c r="D29" i="45"/>
  <c r="D26" i="45"/>
  <c r="D25" i="45"/>
  <c r="E24" i="45"/>
  <c r="D21" i="45"/>
  <c r="E72" i="45"/>
  <c r="E64" i="45"/>
  <c r="E56" i="45"/>
  <c r="E48" i="45"/>
  <c r="E40" i="45"/>
  <c r="E33" i="45"/>
  <c r="E30" i="45"/>
  <c r="D24" i="45"/>
  <c r="D23" i="45"/>
  <c r="E22" i="45"/>
  <c r="E20" i="45"/>
  <c r="E74" i="45"/>
  <c r="E66" i="45"/>
  <c r="E58" i="45"/>
  <c r="E50" i="45"/>
  <c r="E42" i="45"/>
  <c r="E37" i="45"/>
  <c r="E31" i="45"/>
  <c r="D22" i="45"/>
  <c r="D20" i="45"/>
  <c r="E76" i="45"/>
  <c r="E68" i="45"/>
  <c r="E60" i="45"/>
  <c r="E52" i="45"/>
  <c r="E44" i="45"/>
  <c r="D31" i="45"/>
  <c r="E28" i="45"/>
  <c r="D27" i="45"/>
  <c r="E26" i="45"/>
  <c r="E21" i="45"/>
  <c r="F20" i="45"/>
  <c r="J4" i="45"/>
  <c r="G14" i="54" l="1"/>
  <c r="F14" i="54"/>
  <c r="E15" i="54" s="1"/>
  <c r="H3" i="53"/>
  <c r="F74" i="53" s="1"/>
  <c r="B33" i="51"/>
  <c r="B49" i="51" s="1"/>
  <c r="B32" i="51"/>
  <c r="B39" i="51"/>
  <c r="D32" i="53"/>
  <c r="E32" i="53"/>
  <c r="B33" i="53"/>
  <c r="C32" i="53"/>
  <c r="G36" i="45"/>
  <c r="G31" i="45"/>
  <c r="K23" i="45" s="1"/>
  <c r="D31" i="44" s="1"/>
  <c r="G78" i="45"/>
  <c r="K37" i="45" s="1"/>
  <c r="D37" i="44" s="1"/>
  <c r="D50" i="44" s="1"/>
  <c r="G76" i="45"/>
  <c r="G74" i="45"/>
  <c r="G72" i="45"/>
  <c r="G70" i="45"/>
  <c r="G68" i="45"/>
  <c r="G66" i="45"/>
  <c r="G64" i="45"/>
  <c r="G62" i="45"/>
  <c r="G60" i="45"/>
  <c r="G58" i="45"/>
  <c r="G56" i="45"/>
  <c r="G54" i="45"/>
  <c r="G52" i="45"/>
  <c r="G50" i="45"/>
  <c r="G48" i="45"/>
  <c r="G46" i="45"/>
  <c r="G44" i="45"/>
  <c r="G42" i="45"/>
  <c r="G40" i="45"/>
  <c r="G37" i="45"/>
  <c r="G33" i="45"/>
  <c r="K21" i="45" s="1"/>
  <c r="D33" i="44" s="1"/>
  <c r="G30" i="45"/>
  <c r="K24" i="45" s="1"/>
  <c r="D30" i="44" s="1"/>
  <c r="G28" i="45"/>
  <c r="G26" i="45"/>
  <c r="G24" i="45"/>
  <c r="G22" i="45"/>
  <c r="G38" i="45"/>
  <c r="G34" i="45"/>
  <c r="G79" i="45"/>
  <c r="G75" i="45"/>
  <c r="G67" i="45"/>
  <c r="G59" i="45"/>
  <c r="G51" i="45"/>
  <c r="G43" i="45"/>
  <c r="K19" i="45"/>
  <c r="D35" i="44" s="1"/>
  <c r="D49" i="44" s="1"/>
  <c r="G77" i="45"/>
  <c r="G69" i="45"/>
  <c r="G61" i="45"/>
  <c r="G53" i="45"/>
  <c r="G45" i="45"/>
  <c r="G35" i="45"/>
  <c r="G27" i="45"/>
  <c r="K26" i="45" s="1"/>
  <c r="D28" i="44" s="1"/>
  <c r="D46" i="44" s="1"/>
  <c r="G21" i="45"/>
  <c r="G71" i="45"/>
  <c r="G63" i="45"/>
  <c r="G55" i="45"/>
  <c r="G47" i="45"/>
  <c r="G39" i="45"/>
  <c r="G25" i="45"/>
  <c r="G73" i="45"/>
  <c r="G65" i="45"/>
  <c r="G57" i="45"/>
  <c r="G49" i="45"/>
  <c r="G41" i="45"/>
  <c r="K36" i="45"/>
  <c r="G32" i="45"/>
  <c r="G29" i="45"/>
  <c r="G23" i="45"/>
  <c r="G20" i="45"/>
  <c r="J5" i="45"/>
  <c r="J6" i="45" s="1"/>
  <c r="D41" i="44"/>
  <c r="F15" i="54" l="1"/>
  <c r="E16" i="54" s="1"/>
  <c r="G15" i="54"/>
  <c r="F73" i="53"/>
  <c r="B48" i="51"/>
  <c r="D49" i="51" s="1"/>
  <c r="B52" i="51" s="1"/>
  <c r="B44" i="51"/>
  <c r="C2" i="52"/>
  <c r="B40" i="51"/>
  <c r="D33" i="53"/>
  <c r="B34" i="53"/>
  <c r="C33" i="53"/>
  <c r="E33" i="53"/>
  <c r="K38" i="45"/>
  <c r="K25" i="45"/>
  <c r="D29" i="44" s="1"/>
  <c r="D51" i="44" s="1"/>
  <c r="K35" i="45"/>
  <c r="K20" i="45"/>
  <c r="D34" i="44" s="1"/>
  <c r="D48" i="44" s="1"/>
  <c r="D77" i="44"/>
  <c r="D76" i="44"/>
  <c r="D74" i="44"/>
  <c r="D75" i="44" s="1"/>
  <c r="D72" i="44"/>
  <c r="D71" i="44"/>
  <c r="D69" i="44"/>
  <c r="D70" i="44" s="1"/>
  <c r="D65" i="44"/>
  <c r="D64" i="44"/>
  <c r="D60" i="44"/>
  <c r="D57" i="44"/>
  <c r="D58" i="44" s="1"/>
  <c r="C76" i="44"/>
  <c r="C77" i="44" s="1"/>
  <c r="C74" i="44"/>
  <c r="C75" i="44" s="1"/>
  <c r="C71" i="44"/>
  <c r="C72" i="44" s="1"/>
  <c r="C69" i="44"/>
  <c r="C70" i="44" s="1"/>
  <c r="C64" i="44"/>
  <c r="C65" i="44" s="1"/>
  <c r="C62" i="44"/>
  <c r="C63" i="44" s="1"/>
  <c r="C59" i="44"/>
  <c r="C60" i="44" s="1"/>
  <c r="C57" i="44"/>
  <c r="C58" i="44" s="1"/>
  <c r="D59" i="44"/>
  <c r="F76" i="44"/>
  <c r="F77" i="44" s="1"/>
  <c r="F74" i="44"/>
  <c r="F75" i="44" s="1"/>
  <c r="F71" i="44"/>
  <c r="F72" i="44" s="1"/>
  <c r="F69" i="44"/>
  <c r="F70" i="44" s="1"/>
  <c r="F64" i="44"/>
  <c r="F65" i="44" s="1"/>
  <c r="F62" i="44"/>
  <c r="F63" i="44" s="1"/>
  <c r="F59" i="44"/>
  <c r="F60" i="44" s="1"/>
  <c r="F57" i="44"/>
  <c r="F58" i="44" s="1"/>
  <c r="E77" i="44"/>
  <c r="E76" i="44"/>
  <c r="E74" i="44"/>
  <c r="E75" i="44" s="1"/>
  <c r="E72" i="44"/>
  <c r="E71" i="44"/>
  <c r="E69" i="44"/>
  <c r="E70" i="44" s="1"/>
  <c r="E65" i="44"/>
  <c r="E64" i="44"/>
  <c r="E62" i="44"/>
  <c r="E63" i="44" s="1"/>
  <c r="E60" i="44"/>
  <c r="E59" i="44"/>
  <c r="E57" i="44"/>
  <c r="E58" i="44" s="1"/>
  <c r="D62" i="44"/>
  <c r="D63" i="44" s="1"/>
  <c r="K34" i="45"/>
  <c r="K22" i="45"/>
  <c r="D32" i="44" s="1"/>
  <c r="D47" i="44" s="1"/>
  <c r="K33" i="45"/>
  <c r="K27" i="45"/>
  <c r="D27" i="44" s="1"/>
  <c r="K28" i="45"/>
  <c r="D26" i="44" s="1"/>
  <c r="K29" i="45"/>
  <c r="D25" i="44" s="1"/>
  <c r="G16" i="54" l="1"/>
  <c r="F16" i="54"/>
  <c r="E17" i="54" s="1"/>
  <c r="D50" i="51"/>
  <c r="B54" i="51" s="1"/>
  <c r="B50" i="51"/>
  <c r="F5" i="53" s="1"/>
  <c r="D6" i="54" s="1"/>
  <c r="B53" i="51"/>
  <c r="E12" i="52"/>
  <c r="E62" i="52"/>
  <c r="E53" i="52"/>
  <c r="E115" i="52"/>
  <c r="E94" i="52"/>
  <c r="E77" i="52"/>
  <c r="E60" i="52"/>
  <c r="E130" i="52"/>
  <c r="E194" i="52"/>
  <c r="E141" i="52"/>
  <c r="E205" i="52"/>
  <c r="E140" i="52"/>
  <c r="E204" i="52"/>
  <c r="E268" i="52"/>
  <c r="E171" i="52"/>
  <c r="E183" i="52"/>
  <c r="E309" i="52"/>
  <c r="E249" i="52"/>
  <c r="E326" i="52"/>
  <c r="E271" i="52"/>
  <c r="E250" i="52"/>
  <c r="E126" i="52"/>
  <c r="E201" i="52"/>
  <c r="E280" i="52"/>
  <c r="E323" i="52"/>
  <c r="E269" i="52"/>
  <c r="E34" i="52"/>
  <c r="E44" i="52"/>
  <c r="E87" i="52"/>
  <c r="E66" i="52"/>
  <c r="E41" i="52"/>
  <c r="E113" i="52"/>
  <c r="E100" i="52"/>
  <c r="E166" i="52"/>
  <c r="E230" i="52"/>
  <c r="E177" i="52"/>
  <c r="E241" i="52"/>
  <c r="E176" i="52"/>
  <c r="E240" i="52"/>
  <c r="E304" i="52"/>
  <c r="E291" i="52"/>
  <c r="E247" i="52"/>
  <c r="E331" i="52"/>
  <c r="E274" i="52"/>
  <c r="E159" i="52"/>
  <c r="E301" i="52"/>
  <c r="E26" i="52"/>
  <c r="E95" i="52"/>
  <c r="E56" i="52"/>
  <c r="E142" i="52"/>
  <c r="E233" i="52"/>
  <c r="E264" i="52"/>
  <c r="E279" i="52"/>
  <c r="E310" i="52"/>
  <c r="E38" i="52"/>
  <c r="E48" i="52"/>
  <c r="E91" i="52"/>
  <c r="E70" i="52"/>
  <c r="E49" i="52"/>
  <c r="E117" i="52"/>
  <c r="E104" i="52"/>
  <c r="E170" i="52"/>
  <c r="E118" i="52"/>
  <c r="E181" i="52"/>
  <c r="E245" i="52"/>
  <c r="E180" i="52"/>
  <c r="E244" i="52"/>
  <c r="E308" i="52"/>
  <c r="E298" i="52"/>
  <c r="E254" i="52"/>
  <c r="E179" i="52"/>
  <c r="E299" i="52"/>
  <c r="E262" i="52"/>
  <c r="E273" i="52"/>
  <c r="E52" i="52"/>
  <c r="E59" i="52"/>
  <c r="E15" i="52"/>
  <c r="E206" i="52"/>
  <c r="E152" i="52"/>
  <c r="E219" i="52"/>
  <c r="E265" i="52"/>
  <c r="E246" i="52"/>
  <c r="E10" i="52"/>
  <c r="E25" i="52"/>
  <c r="E67" i="52"/>
  <c r="E30" i="52"/>
  <c r="E83" i="52"/>
  <c r="E78" i="52"/>
  <c r="E93" i="52"/>
  <c r="E96" i="52"/>
  <c r="E178" i="52"/>
  <c r="E157" i="52"/>
  <c r="E237" i="52"/>
  <c r="E188" i="52"/>
  <c r="E284" i="52"/>
  <c r="E282" i="52"/>
  <c r="E286" i="52"/>
  <c r="E267" i="52"/>
  <c r="E207" i="52"/>
  <c r="E174" i="52"/>
  <c r="E184" i="52"/>
  <c r="E261" i="52"/>
  <c r="E329" i="52"/>
  <c r="E9" i="52"/>
  <c r="E71" i="52"/>
  <c r="E82" i="52"/>
  <c r="E81" i="52"/>
  <c r="E84" i="52"/>
  <c r="E182" i="52"/>
  <c r="E145" i="52"/>
  <c r="E225" i="52"/>
  <c r="E192" i="52"/>
  <c r="E272" i="52"/>
  <c r="E257" i="52"/>
  <c r="E270" i="52"/>
  <c r="E227" i="52"/>
  <c r="E330" i="52"/>
  <c r="E321" i="52"/>
  <c r="E36" i="52"/>
  <c r="E106" i="52"/>
  <c r="E190" i="52"/>
  <c r="E168" i="52"/>
  <c r="E167" i="52"/>
  <c r="E289" i="52"/>
  <c r="E11" i="52"/>
  <c r="E75" i="52"/>
  <c r="E86" i="52"/>
  <c r="E85" i="52"/>
  <c r="E88" i="52"/>
  <c r="E186" i="52"/>
  <c r="E149" i="52"/>
  <c r="E229" i="52"/>
  <c r="E196" i="52"/>
  <c r="E276" i="52"/>
  <c r="E259" i="52"/>
  <c r="E277" i="52"/>
  <c r="E258" i="52"/>
  <c r="E235" i="52"/>
  <c r="E332" i="52"/>
  <c r="E79" i="52"/>
  <c r="E89" i="52"/>
  <c r="E137" i="52"/>
  <c r="E248" i="52"/>
  <c r="E131" i="52"/>
  <c r="E46" i="52"/>
  <c r="E99" i="52"/>
  <c r="E110" i="52"/>
  <c r="E109" i="52"/>
  <c r="E112" i="52"/>
  <c r="E210" i="52"/>
  <c r="E173" i="52"/>
  <c r="E124" i="52"/>
  <c r="E220" i="52"/>
  <c r="E300" i="52"/>
  <c r="E314" i="52"/>
  <c r="E327" i="52"/>
  <c r="E290" i="52"/>
  <c r="E253" i="52"/>
  <c r="E307" i="52"/>
  <c r="E222" i="52"/>
  <c r="E232" i="52"/>
  <c r="E195" i="52"/>
  <c r="E16" i="52"/>
  <c r="E28" i="52"/>
  <c r="E103" i="52"/>
  <c r="E98" i="52"/>
  <c r="E97" i="52"/>
  <c r="E116" i="52"/>
  <c r="E198" i="52"/>
  <c r="E161" i="52"/>
  <c r="E128" i="52"/>
  <c r="E208" i="52"/>
  <c r="E288" i="52"/>
  <c r="E320" i="52"/>
  <c r="E293" i="52"/>
  <c r="E251" i="52"/>
  <c r="E223" i="52"/>
  <c r="E266" i="52"/>
  <c r="E45" i="52"/>
  <c r="E73" i="52"/>
  <c r="E121" i="52"/>
  <c r="E216" i="52"/>
  <c r="E242" i="52"/>
  <c r="E20" i="52"/>
  <c r="E32" i="52"/>
  <c r="E107" i="52"/>
  <c r="E102" i="52"/>
  <c r="E101" i="52"/>
  <c r="E122" i="52"/>
  <c r="E202" i="52"/>
  <c r="E165" i="52"/>
  <c r="E132" i="52"/>
  <c r="E212" i="52"/>
  <c r="E292" i="52"/>
  <c r="E328" i="52"/>
  <c r="E295" i="52"/>
  <c r="E281" i="52"/>
  <c r="E285" i="52"/>
  <c r="E24" i="52"/>
  <c r="E27" i="52"/>
  <c r="E76" i="52"/>
  <c r="E185" i="52"/>
  <c r="E296" i="52"/>
  <c r="E322" i="52"/>
  <c r="E40" i="52"/>
  <c r="E35" i="52"/>
  <c r="E33" i="52"/>
  <c r="E22" i="52"/>
  <c r="E146" i="52"/>
  <c r="E226" i="52"/>
  <c r="E189" i="52"/>
  <c r="E156" i="52"/>
  <c r="E236" i="52"/>
  <c r="E316" i="52"/>
  <c r="E239" i="52"/>
  <c r="E147" i="52"/>
  <c r="E313" i="52"/>
  <c r="E294" i="52"/>
  <c r="E42" i="52"/>
  <c r="E153" i="52"/>
  <c r="E155" i="52"/>
  <c r="E283" i="52"/>
  <c r="E17" i="52"/>
  <c r="E29" i="52"/>
  <c r="E119" i="52"/>
  <c r="E114" i="52"/>
  <c r="E31" i="52"/>
  <c r="E134" i="52"/>
  <c r="E214" i="52"/>
  <c r="E193" i="52"/>
  <c r="E144" i="52"/>
  <c r="E224" i="52"/>
  <c r="E123" i="52"/>
  <c r="E135" i="52"/>
  <c r="E311" i="52"/>
  <c r="E297" i="52"/>
  <c r="E255" i="52"/>
  <c r="E324" i="52"/>
  <c r="E111" i="52"/>
  <c r="E105" i="52"/>
  <c r="E169" i="52"/>
  <c r="E312" i="52"/>
  <c r="E306" i="52"/>
  <c r="E19" i="52"/>
  <c r="E37" i="52"/>
  <c r="E13" i="52"/>
  <c r="E14" i="52"/>
  <c r="E39" i="52"/>
  <c r="E138" i="52"/>
  <c r="E218" i="52"/>
  <c r="E197" i="52"/>
  <c r="E61" i="52"/>
  <c r="E125" i="52"/>
  <c r="E238" i="52"/>
  <c r="E317" i="52"/>
  <c r="E127" i="52"/>
  <c r="E65" i="52"/>
  <c r="E209" i="52"/>
  <c r="E199" i="52"/>
  <c r="E58" i="52"/>
  <c r="E275" i="52"/>
  <c r="E51" i="52"/>
  <c r="E133" i="52"/>
  <c r="E228" i="52"/>
  <c r="E151" i="52"/>
  <c r="E318" i="52"/>
  <c r="E18" i="52"/>
  <c r="E108" i="52"/>
  <c r="E231" i="52"/>
  <c r="E63" i="52"/>
  <c r="E221" i="52"/>
  <c r="E263" i="52"/>
  <c r="E47" i="52"/>
  <c r="E50" i="52"/>
  <c r="E68" i="52"/>
  <c r="E160" i="52"/>
  <c r="E163" i="52"/>
  <c r="E74" i="52"/>
  <c r="E243" i="52"/>
  <c r="E69" i="52"/>
  <c r="E213" i="52"/>
  <c r="E260" i="52"/>
  <c r="E215" i="52"/>
  <c r="E175" i="52"/>
  <c r="E64" i="52"/>
  <c r="E158" i="52"/>
  <c r="E302" i="52"/>
  <c r="E80" i="52"/>
  <c r="E172" i="52"/>
  <c r="E211" i="52"/>
  <c r="E120" i="52"/>
  <c r="E55" i="52"/>
  <c r="E150" i="52"/>
  <c r="E256" i="52"/>
  <c r="E315" i="52"/>
  <c r="E92" i="52"/>
  <c r="E54" i="52"/>
  <c r="E72" i="52"/>
  <c r="E148" i="52"/>
  <c r="E139" i="52"/>
  <c r="E319" i="52"/>
  <c r="E303" i="52"/>
  <c r="E90" i="52"/>
  <c r="E217" i="52"/>
  <c r="E191" i="52"/>
  <c r="E23" i="52"/>
  <c r="E162" i="52"/>
  <c r="E252" i="52"/>
  <c r="E143" i="52"/>
  <c r="E305" i="52"/>
  <c r="E43" i="52"/>
  <c r="E129" i="52"/>
  <c r="E187" i="52"/>
  <c r="E278" i="52"/>
  <c r="E136" i="52"/>
  <c r="E57" i="52"/>
  <c r="E154" i="52"/>
  <c r="E164" i="52"/>
  <c r="E203" i="52"/>
  <c r="E234" i="52"/>
  <c r="E325" i="52"/>
  <c r="E21" i="52"/>
  <c r="E200" i="52"/>
  <c r="E287" i="52"/>
  <c r="E34" i="53"/>
  <c r="C34" i="53"/>
  <c r="D34" i="53"/>
  <c r="B35" i="53"/>
  <c r="B51" i="51" l="1"/>
  <c r="B55" i="51"/>
  <c r="F6" i="53"/>
  <c r="B76" i="51" s="1"/>
  <c r="G17" i="54"/>
  <c r="F17" i="54"/>
  <c r="E18" i="54" s="1"/>
  <c r="E35" i="53"/>
  <c r="C35" i="53"/>
  <c r="D35" i="53"/>
  <c r="B36" i="53"/>
  <c r="L4" i="53"/>
  <c r="B75" i="51" l="1"/>
  <c r="G69" i="51"/>
  <c r="G70" i="51" s="1"/>
  <c r="L5" i="53"/>
  <c r="G67" i="51" s="1"/>
  <c r="H67" i="51" s="1"/>
  <c r="I67" i="51" s="1"/>
  <c r="F18" i="54"/>
  <c r="E19" i="54" s="1"/>
  <c r="G18" i="54"/>
  <c r="G64" i="51"/>
  <c r="G76" i="51" s="1"/>
  <c r="H70" i="51"/>
  <c r="G82" i="51"/>
  <c r="G65" i="51"/>
  <c r="G77" i="51" s="1"/>
  <c r="D36" i="53"/>
  <c r="C36" i="53"/>
  <c r="E36" i="53"/>
  <c r="B37" i="53"/>
  <c r="H69" i="51" l="1"/>
  <c r="H81" i="51" s="1"/>
  <c r="H62" i="51"/>
  <c r="H74" i="51" s="1"/>
  <c r="G68" i="51"/>
  <c r="G80" i="51" s="1"/>
  <c r="G62" i="51"/>
  <c r="G74" i="51" s="1"/>
  <c r="L6" i="53"/>
  <c r="H79" i="51"/>
  <c r="G81" i="51"/>
  <c r="G79" i="51"/>
  <c r="I69" i="51"/>
  <c r="J69" i="51" s="1"/>
  <c r="H64" i="51"/>
  <c r="H76" i="51" s="1"/>
  <c r="G63" i="51"/>
  <c r="G75" i="51" s="1"/>
  <c r="G19" i="54"/>
  <c r="F19" i="54"/>
  <c r="E20" i="54" s="1"/>
  <c r="H65" i="51"/>
  <c r="H77" i="51" s="1"/>
  <c r="I70" i="51"/>
  <c r="H82" i="51"/>
  <c r="I79" i="51"/>
  <c r="I62" i="51"/>
  <c r="I74" i="51" s="1"/>
  <c r="J67" i="51"/>
  <c r="C37" i="53"/>
  <c r="B38" i="53"/>
  <c r="D37" i="53"/>
  <c r="E37" i="53"/>
  <c r="H68" i="51" l="1"/>
  <c r="H63" i="51" s="1"/>
  <c r="H75" i="51" s="1"/>
  <c r="I81" i="51"/>
  <c r="I64" i="51"/>
  <c r="I76" i="51" s="1"/>
  <c r="I68" i="51"/>
  <c r="I63" i="51" s="1"/>
  <c r="I75" i="51" s="1"/>
  <c r="H80" i="51"/>
  <c r="F20" i="54"/>
  <c r="E21" i="54" s="1"/>
  <c r="F21" i="54" s="1"/>
  <c r="G20" i="54"/>
  <c r="K69" i="51"/>
  <c r="J81" i="51"/>
  <c r="J64" i="51"/>
  <c r="J76" i="51" s="1"/>
  <c r="K67" i="51"/>
  <c r="J79" i="51"/>
  <c r="J62" i="51"/>
  <c r="J74" i="51" s="1"/>
  <c r="I82" i="51"/>
  <c r="I65" i="51"/>
  <c r="I77" i="51" s="1"/>
  <c r="J70" i="51"/>
  <c r="B39" i="53"/>
  <c r="D38" i="53"/>
  <c r="E38" i="53"/>
  <c r="C38" i="53"/>
  <c r="I80" i="51" l="1"/>
  <c r="J68" i="51"/>
  <c r="J63" i="51" s="1"/>
  <c r="J75" i="51" s="1"/>
  <c r="G21" i="54"/>
  <c r="E22" i="54"/>
  <c r="K62" i="51"/>
  <c r="K74" i="51" s="1"/>
  <c r="K79" i="51"/>
  <c r="J65" i="51"/>
  <c r="J77" i="51" s="1"/>
  <c r="K70" i="51"/>
  <c r="J82" i="51"/>
  <c r="K81" i="51"/>
  <c r="K64" i="51"/>
  <c r="K76" i="51" s="1"/>
  <c r="E39" i="53"/>
  <c r="B40" i="53"/>
  <c r="D39" i="53"/>
  <c r="C39" i="53"/>
  <c r="J80" i="51" l="1"/>
  <c r="K68" i="51"/>
  <c r="K80" i="51" s="1"/>
  <c r="F22" i="54"/>
  <c r="G22" i="54"/>
  <c r="K82" i="51"/>
  <c r="K65" i="51"/>
  <c r="K77" i="51" s="1"/>
  <c r="D40" i="53"/>
  <c r="B41" i="53"/>
  <c r="E40" i="53"/>
  <c r="C40" i="53"/>
  <c r="K63" i="51" l="1"/>
  <c r="K75" i="51" s="1"/>
  <c r="E23" i="54"/>
  <c r="C41" i="53"/>
  <c r="B42" i="53"/>
  <c r="E41" i="53"/>
  <c r="D41" i="53"/>
  <c r="F23" i="54" l="1"/>
  <c r="G23" i="54"/>
  <c r="C42" i="53"/>
  <c r="E42" i="53"/>
  <c r="B43" i="53"/>
  <c r="D42" i="53"/>
  <c r="E24" i="54" l="1"/>
  <c r="E43" i="53"/>
  <c r="C43" i="53"/>
  <c r="D43" i="53"/>
  <c r="B44" i="53"/>
  <c r="G24" i="54" l="1"/>
  <c r="F24" i="54"/>
  <c r="D44" i="53"/>
  <c r="C44" i="53"/>
  <c r="B45" i="53"/>
  <c r="E44" i="53"/>
  <c r="E25" i="54" l="1"/>
  <c r="C45" i="53"/>
  <c r="B46" i="53"/>
  <c r="D45" i="53"/>
  <c r="E45" i="53"/>
  <c r="F25" i="54" l="1"/>
  <c r="G25" i="54"/>
  <c r="D46" i="53"/>
  <c r="B47" i="53"/>
  <c r="C46" i="53"/>
  <c r="E46" i="53"/>
  <c r="E26" i="54" l="1"/>
  <c r="E47" i="53"/>
  <c r="D47" i="53"/>
  <c r="B48" i="53"/>
  <c r="C47" i="53"/>
  <c r="G26" i="54" l="1"/>
  <c r="F26" i="54"/>
  <c r="D48" i="53"/>
  <c r="E48" i="53"/>
  <c r="B49" i="53"/>
  <c r="C48" i="53"/>
  <c r="E27" i="54" l="1"/>
  <c r="C49" i="53"/>
  <c r="B50" i="53"/>
  <c r="E49" i="53"/>
  <c r="D49" i="53"/>
  <c r="F27" i="54" l="1"/>
  <c r="G27" i="54"/>
  <c r="E50" i="53"/>
  <c r="C50" i="53"/>
  <c r="D50" i="53"/>
  <c r="B51" i="53"/>
  <c r="E28" i="54" l="1"/>
  <c r="E51" i="53"/>
  <c r="C51" i="53"/>
  <c r="D51" i="53"/>
  <c r="B52" i="53"/>
  <c r="G28" i="54" l="1"/>
  <c r="F28" i="54"/>
  <c r="D52" i="53"/>
  <c r="C52" i="53"/>
  <c r="E52" i="53"/>
  <c r="B53" i="53"/>
  <c r="E29" i="54" l="1"/>
  <c r="C53" i="53"/>
  <c r="B54" i="53"/>
  <c r="D53" i="53"/>
  <c r="E53" i="53"/>
  <c r="F29" i="54" l="1"/>
  <c r="G29" i="54"/>
  <c r="B55" i="53"/>
  <c r="D54" i="53"/>
  <c r="C54" i="53"/>
  <c r="E54" i="53"/>
  <c r="E30" i="54" l="1"/>
  <c r="E55" i="53"/>
  <c r="B56" i="53"/>
  <c r="D55" i="53"/>
  <c r="C55" i="53"/>
  <c r="G30" i="54" l="1"/>
  <c r="F30" i="54"/>
  <c r="D56" i="53"/>
  <c r="B57" i="53"/>
  <c r="E56" i="53"/>
  <c r="C56" i="53"/>
  <c r="E31" i="54" l="1"/>
  <c r="C57" i="53"/>
  <c r="B58" i="53"/>
  <c r="E57" i="53"/>
  <c r="D57" i="53"/>
  <c r="G31" i="54" l="1"/>
  <c r="F31" i="54"/>
  <c r="C58" i="53"/>
  <c r="E58" i="53"/>
  <c r="D58" i="53"/>
  <c r="B59" i="53"/>
  <c r="E32" i="54" l="1"/>
  <c r="E59" i="53"/>
  <c r="C59" i="53"/>
  <c r="B60" i="53"/>
  <c r="D59" i="53"/>
  <c r="G32" i="54" l="1"/>
  <c r="F32" i="54"/>
  <c r="D60" i="53"/>
  <c r="C60" i="53"/>
  <c r="E60" i="53"/>
  <c r="B61" i="53"/>
  <c r="E33" i="54" l="1"/>
  <c r="C61" i="53"/>
  <c r="B62" i="53"/>
  <c r="D61" i="53"/>
  <c r="E61" i="53"/>
  <c r="G33" i="54" l="1"/>
  <c r="F33" i="54"/>
  <c r="D62" i="53"/>
  <c r="B63" i="53"/>
  <c r="C62" i="53"/>
  <c r="E62" i="53"/>
  <c r="E34" i="54" l="1"/>
  <c r="E63" i="53"/>
  <c r="D63" i="53"/>
  <c r="B64" i="53"/>
  <c r="C63" i="53"/>
  <c r="F34" i="54" l="1"/>
  <c r="G34" i="54"/>
  <c r="D64" i="53"/>
  <c r="E64" i="53"/>
  <c r="B65" i="53"/>
  <c r="C64" i="53"/>
  <c r="E35" i="54" l="1"/>
  <c r="C65" i="53"/>
  <c r="B66" i="53"/>
  <c r="E65" i="53"/>
  <c r="D65" i="53"/>
  <c r="G35" i="54" l="1"/>
  <c r="F35" i="54"/>
  <c r="E66" i="53"/>
  <c r="C66" i="53"/>
  <c r="D66" i="53"/>
  <c r="B67" i="53"/>
  <c r="E36" i="54" l="1"/>
  <c r="E67" i="53"/>
  <c r="C67" i="53"/>
  <c r="D67" i="53"/>
  <c r="B68" i="53"/>
  <c r="F36" i="54" l="1"/>
  <c r="G36" i="54"/>
  <c r="D68" i="53"/>
  <c r="C68" i="53"/>
  <c r="E68" i="53"/>
  <c r="B69" i="53"/>
  <c r="E37" i="54" l="1"/>
  <c r="C69" i="53"/>
  <c r="B70" i="53"/>
  <c r="D69" i="53"/>
  <c r="E69" i="53"/>
  <c r="G37" i="54" l="1"/>
  <c r="F37" i="54"/>
  <c r="B71" i="53"/>
  <c r="D70" i="53"/>
  <c r="E70" i="53"/>
  <c r="C70" i="53"/>
  <c r="E38" i="54" l="1"/>
  <c r="E71" i="53"/>
  <c r="B72" i="53"/>
  <c r="D71" i="53"/>
  <c r="C71" i="53"/>
  <c r="G38" i="54" l="1"/>
  <c r="F38" i="54"/>
  <c r="D72" i="53"/>
  <c r="E72" i="53"/>
  <c r="C72" i="53"/>
  <c r="E39" i="54" l="1"/>
  <c r="J5" i="53" a="1"/>
  <c r="J5" i="53" s="1"/>
  <c r="J3" i="53" s="1"/>
  <c r="F18" i="53" s="1"/>
  <c r="J28" i="53" s="1"/>
  <c r="J6" i="53" a="1"/>
  <c r="J6" i="53" s="1"/>
  <c r="J4" i="53" s="1"/>
  <c r="F39" i="54" l="1"/>
  <c r="G39" i="54"/>
  <c r="F26" i="53"/>
  <c r="J18" i="53" s="1"/>
  <c r="B66" i="51" s="1"/>
  <c r="F66" i="53"/>
  <c r="F50" i="53"/>
  <c r="F33" i="53"/>
  <c r="F31" i="53"/>
  <c r="F61" i="53"/>
  <c r="F45" i="53"/>
  <c r="F36" i="53"/>
  <c r="F72" i="53"/>
  <c r="J32" i="53" s="1"/>
  <c r="F56" i="53"/>
  <c r="F40" i="53"/>
  <c r="F19" i="53"/>
  <c r="F67" i="53"/>
  <c r="F51" i="53"/>
  <c r="F15" i="53"/>
  <c r="J23" i="53" s="1"/>
  <c r="B61" i="51" s="1"/>
  <c r="J22" i="53"/>
  <c r="B62" i="51" s="1"/>
  <c r="F62" i="53"/>
  <c r="F46" i="53"/>
  <c r="F20" i="53"/>
  <c r="F38" i="53"/>
  <c r="F57" i="53"/>
  <c r="F41" i="53"/>
  <c r="F23" i="53"/>
  <c r="F68" i="53"/>
  <c r="F52" i="53"/>
  <c r="F29" i="53"/>
  <c r="F28" i="53"/>
  <c r="J16" i="53" s="1"/>
  <c r="B68" i="51" s="1"/>
  <c r="F63" i="53"/>
  <c r="F47" i="53"/>
  <c r="F22" i="53"/>
  <c r="J21" i="53" s="1"/>
  <c r="B63" i="51" s="1"/>
  <c r="B80" i="51" s="1"/>
  <c r="F25" i="53"/>
  <c r="J19" i="53" s="1"/>
  <c r="B65" i="51" s="1"/>
  <c r="F58" i="53"/>
  <c r="F42" i="53"/>
  <c r="F17" i="53"/>
  <c r="F69" i="53"/>
  <c r="F53" i="53"/>
  <c r="F30" i="53"/>
  <c r="F32" i="53"/>
  <c r="F64" i="53"/>
  <c r="F48" i="53"/>
  <c r="F37" i="53"/>
  <c r="F59" i="53"/>
  <c r="F43" i="53"/>
  <c r="F16" i="53"/>
  <c r="F70" i="53"/>
  <c r="F54" i="53"/>
  <c r="F27" i="53"/>
  <c r="F35" i="53"/>
  <c r="F65" i="53"/>
  <c r="F49" i="53"/>
  <c r="F24" i="53"/>
  <c r="J33" i="53" s="1"/>
  <c r="F34" i="53"/>
  <c r="J15" i="53" s="1"/>
  <c r="B69" i="51" s="1"/>
  <c r="B82" i="51" s="1"/>
  <c r="F60" i="53"/>
  <c r="F44" i="53"/>
  <c r="F21" i="53"/>
  <c r="F71" i="53"/>
  <c r="F55" i="53"/>
  <c r="F39" i="53"/>
  <c r="J29" i="53" l="1"/>
  <c r="D7" i="54"/>
  <c r="E40" i="54"/>
  <c r="B84" i="51"/>
  <c r="J24" i="53"/>
  <c r="B60" i="51" s="1"/>
  <c r="J20" i="53"/>
  <c r="B64" i="51" s="1"/>
  <c r="B85" i="51" s="1"/>
  <c r="J17" i="53"/>
  <c r="B67" i="51" s="1"/>
  <c r="B81" i="51" s="1"/>
  <c r="J30" i="53"/>
  <c r="I13" i="54" l="1"/>
  <c r="H13" i="54"/>
  <c r="I14" i="54"/>
  <c r="H14" i="54"/>
  <c r="I15" i="54"/>
  <c r="H15" i="54"/>
  <c r="I16" i="54"/>
  <c r="H16" i="54"/>
  <c r="I17" i="54"/>
  <c r="H17" i="54"/>
  <c r="I18" i="54"/>
  <c r="H18" i="54"/>
  <c r="I19" i="54"/>
  <c r="H19" i="54"/>
  <c r="I20" i="54"/>
  <c r="H20" i="54"/>
  <c r="I21" i="54"/>
  <c r="H21" i="54"/>
  <c r="I22" i="54"/>
  <c r="H22" i="54"/>
  <c r="I23" i="54"/>
  <c r="H23" i="54"/>
  <c r="I24" i="54"/>
  <c r="H24" i="54"/>
  <c r="I25" i="54"/>
  <c r="H25" i="54"/>
  <c r="I26" i="54"/>
  <c r="H26" i="54"/>
  <c r="I27" i="54"/>
  <c r="H27" i="54"/>
  <c r="I28" i="54"/>
  <c r="H28" i="54"/>
  <c r="I29" i="54"/>
  <c r="H29" i="54"/>
  <c r="I30" i="54"/>
  <c r="H30" i="54"/>
  <c r="I31" i="54"/>
  <c r="H31" i="54"/>
  <c r="I32" i="54"/>
  <c r="H32" i="54"/>
  <c r="I33" i="54"/>
  <c r="H33" i="54"/>
  <c r="I34" i="54"/>
  <c r="H34" i="54"/>
  <c r="I35" i="54"/>
  <c r="H35" i="54"/>
  <c r="I36" i="54"/>
  <c r="H36" i="54"/>
  <c r="I37" i="54"/>
  <c r="H37" i="54"/>
  <c r="I38" i="54"/>
  <c r="H38" i="54"/>
  <c r="H39" i="54"/>
  <c r="I39" i="54"/>
  <c r="G40" i="54"/>
  <c r="I40" i="54" s="1"/>
  <c r="F40" i="54"/>
  <c r="B70" i="51"/>
  <c r="C1" i="54" l="1"/>
  <c r="E41" i="54"/>
  <c r="H40" i="54"/>
  <c r="G41" i="54" l="1"/>
  <c r="I41" i="54" s="1"/>
  <c r="F41" i="54"/>
  <c r="E42" i="54" l="1"/>
  <c r="H41" i="54"/>
  <c r="F42" i="54" l="1"/>
  <c r="G42" i="54"/>
  <c r="I42" i="54" s="1"/>
  <c r="E43" i="54" l="1"/>
  <c r="H42" i="54"/>
  <c r="G43" i="54" l="1"/>
  <c r="I43" i="54" s="1"/>
  <c r="F43" i="54"/>
  <c r="E44" i="54" l="1"/>
  <c r="H43" i="54"/>
  <c r="G44" i="54" l="1"/>
  <c r="I44" i="54" s="1"/>
  <c r="F44" i="54"/>
  <c r="E45" i="54" l="1"/>
  <c r="H44" i="54"/>
  <c r="G45" i="54" l="1"/>
  <c r="I45" i="54" s="1"/>
  <c r="F45" i="54"/>
  <c r="H45" i="54" l="1"/>
  <c r="E46" i="54"/>
  <c r="F46" i="54" l="1"/>
  <c r="G46" i="54"/>
  <c r="I46" i="54" s="1"/>
  <c r="E47" i="54" l="1"/>
  <c r="H46" i="54"/>
  <c r="G47" i="54" l="1"/>
  <c r="I47" i="54" s="1"/>
  <c r="F47" i="54"/>
  <c r="E48" i="54" l="1"/>
  <c r="H47" i="54"/>
  <c r="F48" i="54" l="1"/>
  <c r="H48" i="54" s="1"/>
  <c r="G48" i="54"/>
  <c r="I48" i="54" s="1"/>
</calcChain>
</file>

<file path=xl/sharedStrings.xml><?xml version="1.0" encoding="utf-8"?>
<sst xmlns="http://schemas.openxmlformats.org/spreadsheetml/2006/main" count="448" uniqueCount="289">
  <si>
    <t>Submit technical questions at:</t>
  </si>
  <si>
    <t>https://support.cdmatech.com</t>
  </si>
  <si>
    <t>Confidential and Proprietary – Qualcomm Technologies, Inc.</t>
  </si>
  <si>
    <t>This technical data may be subject to U.S. and international export, re-export, or transfer (“export”) laws. Diversion contrary to U.S. and international law is strictly prohibited.</t>
  </si>
  <si>
    <t>Not to be used, copied, reproduced, or modified in whole or in part, nor its contents revealed in any manner to others without the express written permission of Qualcomm Technologies, Inc.</t>
  </si>
  <si>
    <t>Program Name</t>
  </si>
  <si>
    <t>Qualcomm Notes</t>
  </si>
  <si>
    <t>Camera 
Module 
Optics</t>
  </si>
  <si>
    <t>EFL [mm]</t>
  </si>
  <si>
    <t>F#</t>
  </si>
  <si>
    <r>
      <t>Pixel [</t>
    </r>
    <r>
      <rPr>
        <b/>
        <sz val="11.5"/>
        <rFont val="Calibri"/>
        <family val="2"/>
      </rPr>
      <t>µm]</t>
    </r>
  </si>
  <si>
    <t>Hyperfocal [cm]</t>
  </si>
  <si>
    <t>Actuator Sensitivity</t>
  </si>
  <si>
    <t>Lens Movement Per DAC code [µm/DAC]</t>
  </si>
  <si>
    <t xml:space="preserve"> Actuator Movement Range</t>
  </si>
  <si>
    <t>MIN</t>
  </si>
  <si>
    <t>TYP</t>
  </si>
  <si>
    <t>MAX</t>
  </si>
  <si>
    <t>Size of Samples Tested</t>
  </si>
  <si>
    <t xml:space="preserve"> Mechanical Stop 
Far Focus [DAC]</t>
  </si>
  <si>
    <t>Location of mechanical stop is needed in order to prevent lens movement against mechanical stop which often produces an audible "tick" sound. This can cause auto focus to become unstable over a large number of iterations since the absolute position of lens is unknown in open-loop actuators.</t>
  </si>
  <si>
    <t>Mechanical Stop 
Near Focus [DAC]</t>
  </si>
  <si>
    <t>Actuator DAC at
10 cm Focus [DAC]</t>
  </si>
  <si>
    <t>Actuator DAC value at 10cm and at hyperfocal distance are required in order to calculate the suitable mapping between a given target distance (e.g. 25cm) and the corresponding DAC value.</t>
  </si>
  <si>
    <t>Actuator DAC at
Hyperfocal Focus [DAC]</t>
  </si>
  <si>
    <t>Notes:</t>
  </si>
  <si>
    <t>Please attach plots from the laser characterization in Customer Plots and Specify Plot #</t>
  </si>
  <si>
    <t>Initial Code</t>
  </si>
  <si>
    <t>Step Bound</t>
  </si>
  <si>
    <t>Estimated EFL (mm)</t>
  </si>
  <si>
    <t>SINGLE_NEAR_LIMIT_IDX</t>
  </si>
  <si>
    <t>SINGLE_7CM_IDX</t>
  </si>
  <si>
    <t>SINGLE_10CM_IDX</t>
  </si>
  <si>
    <t>SINGLE_14CM_IDX</t>
  </si>
  <si>
    <t>SINGLE_20CM_IDX</t>
  </si>
  <si>
    <t>SINGLE_30CM_IDX</t>
  </si>
  <si>
    <t>SINGLE_40CM_IDX</t>
  </si>
  <si>
    <t>SINGLE_50CM_IDX</t>
  </si>
  <si>
    <t>SINGLE_60CM_IDX</t>
  </si>
  <si>
    <t>SINGLE_120CM_IDX</t>
  </si>
  <si>
    <t>SINGLE_INF_LIMIT_IDX</t>
  </si>
  <si>
    <t>position_normal_hyperfocal</t>
  </si>
  <si>
    <t>target distance</t>
  </si>
  <si>
    <t>finescan stepsize</t>
  </si>
  <si>
    <t>step_index_per_um</t>
  </si>
  <si>
    <t>position_near_end</t>
  </si>
  <si>
    <t>position_default_in_macro</t>
  </si>
  <si>
    <t>position_boundary</t>
  </si>
  <si>
    <t>position_default_in_normal</t>
  </si>
  <si>
    <t>position_far_end</t>
  </si>
  <si>
    <t>position_macro_rgn</t>
  </si>
  <si>
    <t>Camera Mode</t>
  </si>
  <si>
    <t>TAF_step_table</t>
  </si>
  <si>
    <t>{</t>
  </si>
  <si>
    <r>
      <t xml:space="preserve">}, /* {10, </t>
    </r>
    <r>
      <rPr>
        <sz val="10"/>
        <color rgb="FFFF0000"/>
        <rFont val="Arial"/>
        <family val="2"/>
      </rPr>
      <t>x, x, x, x</t>
    </r>
    <r>
      <rPr>
        <sz val="10"/>
        <rFont val="Arial"/>
        <family val="2"/>
      </rPr>
      <t>,}, Variable name: Prescan_normal_light (step_size_t) */</t>
    </r>
  </si>
  <si>
    <r>
      <t xml:space="preserve">}, /* {10, </t>
    </r>
    <r>
      <rPr>
        <sz val="10"/>
        <color rgb="FFFF0000"/>
        <rFont val="Arial"/>
        <family val="2"/>
      </rPr>
      <t>x, x, x, y</t>
    </r>
    <r>
      <rPr>
        <sz val="10"/>
        <rFont val="Arial"/>
        <family val="2"/>
      </rPr>
      <t>,}  Variable name: Prescan_low_light (step_size_t) */</t>
    </r>
  </si>
  <si>
    <r>
      <t>}, /* {  8,</t>
    </r>
    <r>
      <rPr>
        <sz val="10"/>
        <color rgb="FFFF0000"/>
        <rFont val="Arial"/>
        <family val="2"/>
      </rPr>
      <t xml:space="preserve"> z, z, z, z</t>
    </r>
    <r>
      <rPr>
        <sz val="10"/>
        <rFont val="Arial"/>
        <family val="2"/>
      </rPr>
      <t>,}, Variable name: Finescan_normal_light (step_size_t) */</t>
    </r>
  </si>
  <si>
    <r>
      <t xml:space="preserve">}, /* {  8, </t>
    </r>
    <r>
      <rPr>
        <sz val="10"/>
        <color rgb="FFFF0000"/>
        <rFont val="Arial"/>
        <family val="2"/>
      </rPr>
      <t>z, z, z, m</t>
    </r>
    <r>
      <rPr>
        <sz val="10"/>
        <rFont val="Arial"/>
        <family val="2"/>
      </rPr>
      <t>}, Variable name: Prescan_low_light (step_size_t) */</t>
    </r>
  </si>
  <si>
    <t>CAF_step_table</t>
  </si>
  <si>
    <t>Video Mode</t>
  </si>
  <si>
    <t>AF Optics
Features</t>
  </si>
  <si>
    <t>Driver IC</t>
  </si>
  <si>
    <t>EFL</t>
  </si>
  <si>
    <t>Resolution</t>
  </si>
  <si>
    <t>10bit</t>
  </si>
  <si>
    <t>initial code</t>
  </si>
  <si>
    <t>step_move_est</t>
  </si>
  <si>
    <t>range</t>
  </si>
  <si>
    <t>0~1023</t>
  </si>
  <si>
    <t>step_bound</t>
  </si>
  <si>
    <t>initial finescan stepsize (normal)</t>
  </si>
  <si>
    <t>Pixel</t>
  </si>
  <si>
    <t>um/DAC</t>
  </si>
  <si>
    <t>initial prescan stepsize (normal)</t>
  </si>
  <si>
    <t>Hyper focal (cm)</t>
  </si>
  <si>
    <t>facedown lens position</t>
  </si>
  <si>
    <t>initial prescan stepsize (lowlight)</t>
  </si>
  <si>
    <t>** Lens shift = (EFL×EFL)/(Object Distance - EFL)</t>
  </si>
  <si>
    <t>Object Distance</t>
  </si>
  <si>
    <t>lens Shift</t>
  </si>
  <si>
    <t>Depth of Field</t>
  </si>
  <si>
    <t>Dac Code</t>
  </si>
  <si>
    <t>LensPos (1 DAC/Step)</t>
  </si>
  <si>
    <t>[cm]</t>
  </si>
  <si>
    <t>[um]</t>
  </si>
  <si>
    <t>Near Field</t>
  </si>
  <si>
    <t>Far Field</t>
  </si>
  <si>
    <t xml:space="preserve">infinity_index </t>
  </si>
  <si>
    <t xml:space="preserve">120cm_index </t>
  </si>
  <si>
    <t xml:space="preserve">60cm_index  </t>
  </si>
  <si>
    <t xml:space="preserve">50cm_index  </t>
  </si>
  <si>
    <t xml:space="preserve">40cm_index </t>
  </si>
  <si>
    <t>30cm_index</t>
  </si>
  <si>
    <t>20cm_index</t>
  </si>
  <si>
    <t>14cm_index</t>
  </si>
  <si>
    <t>10cm_index</t>
  </si>
  <si>
    <t>7cm_index</t>
  </si>
  <si>
    <t>Near_Limit_index</t>
  </si>
  <si>
    <t>∞</t>
  </si>
  <si>
    <t>EFL Shift</t>
  </si>
  <si>
    <t>AF Actuator Tuning Guide Worksheet</t>
  </si>
  <si>
    <t>AF_TUNING</t>
  </si>
  <si>
    <t>:= um/Lens * FS_stepsize</t>
  </si>
  <si>
    <t>um per FS_Stepsize</t>
  </si>
  <si>
    <t>Sensitivity</t>
  </si>
  <si>
    <t>DAC (one side) 0.5 DOF</t>
  </si>
  <si>
    <t>Depth of Focus (DAC)</t>
  </si>
  <si>
    <t>lens (one side) 0.5 DOF</t>
  </si>
  <si>
    <t>Depth of Focus (Lens)</t>
  </si>
  <si>
    <t>um/Lens</t>
  </si>
  <si>
    <t>DAC/Lens</t>
  </si>
  <si>
    <t>:= Physical lens distance / DAC range</t>
  </si>
  <si>
    <t>actuator_sensitivity_per_module</t>
  </si>
  <si>
    <t>:= | EFL^2 * 10^2 * (1/(macro(cm)) - 1/(inf)(cm))</t>
  </si>
  <si>
    <t>physical lens distance (um)</t>
  </si>
  <si>
    <t>cm (hyperfocal)</t>
  </si>
  <si>
    <t>inf distacne</t>
  </si>
  <si>
    <t>cm</t>
  </si>
  <si>
    <t>macro distance</t>
  </si>
  <si>
    <t>: = golden sensor final DAC range (B22)</t>
  </si>
  <si>
    <t>DAC distance</t>
  </si>
  <si>
    <t>:= step_bound</t>
  </si>
  <si>
    <t>total Lens Position</t>
  </si>
  <si>
    <t>um (one side) 0.5 DOF</t>
  </si>
  <si>
    <t>Depth of Focus</t>
  </si>
  <si>
    <t>:= 1/code_per_step</t>
  </si>
  <si>
    <t>Actuator_sensitivity_golden</t>
  </si>
  <si>
    <t>:= (macro(DAC) - inf (DAC))/ step_bound</t>
  </si>
  <si>
    <t>Code_per_step</t>
  </si>
  <si>
    <t>Intial code is same as Infinity Dac, if vendor provides start_dac then initial code = start_dac</t>
  </si>
  <si>
    <t>:= golden sensor final inf DAC (B20)</t>
  </si>
  <si>
    <t>Initial_code</t>
  </si>
  <si>
    <t>Step_bound</t>
  </si>
  <si>
    <t>q_value</t>
  </si>
  <si>
    <t>ACTUATOR.C</t>
  </si>
  <si>
    <t>Final Total Dac range with margin added</t>
  </si>
  <si>
    <t>final DAC range</t>
  </si>
  <si>
    <t>Final_OTP_DAC_Range</t>
  </si>
  <si>
    <t>Final Macro Dac value with margin in unsigned form</t>
  </si>
  <si>
    <t>Final_Macro_DAC</t>
  </si>
  <si>
    <t>Final Infinity Dac value with margin in unsigned form</t>
  </si>
  <si>
    <t>Final_Inf_DAC</t>
  </si>
  <si>
    <t>Macro Dac with margin added in 2's complement</t>
  </si>
  <si>
    <t>:= macro + (Range) x (near margin)</t>
  </si>
  <si>
    <t>Infinity Dac with margin added in 2's complement</t>
  </si>
  <si>
    <t>:= inf - (Range) x (far margin)</t>
  </si>
  <si>
    <t>far_margin</t>
  </si>
  <si>
    <t>near_margin</t>
  </si>
  <si>
    <t>Dac Range without any margin</t>
  </si>
  <si>
    <t>initial OTP DAC range</t>
  </si>
  <si>
    <t>OTP_DAC_Range</t>
  </si>
  <si>
    <t>Macro Dac in 2's complement</t>
  </si>
  <si>
    <t>2's complement</t>
  </si>
  <si>
    <t>Macro_DAC</t>
  </si>
  <si>
    <t>Infinity Dac in 2's complement</t>
  </si>
  <si>
    <t>Inf_DAC</t>
  </si>
  <si>
    <t>Sensor driver converts the OTP data from hex to integer form i.e from signed to unsigned form</t>
  </si>
  <si>
    <t>Actual value pring in OTP</t>
  </si>
  <si>
    <t>Actual value print in OTP</t>
  </si>
  <si>
    <t>Raw_Macro_DAC</t>
  </si>
  <si>
    <t>Raw_Inf_DAC</t>
  </si>
  <si>
    <t>Golden_Sensor</t>
  </si>
  <si>
    <t>Hyperfocal_distance</t>
  </si>
  <si>
    <t>COC = pixel*2</t>
  </si>
  <si>
    <t>f_number</t>
  </si>
  <si>
    <t>um</t>
  </si>
  <si>
    <t>pixel_size</t>
  </si>
  <si>
    <t>mm</t>
  </si>
  <si>
    <t>focal_length</t>
  </si>
  <si>
    <t>Eeprom_name</t>
  </si>
  <si>
    <t>Actuator_name</t>
  </si>
  <si>
    <t>Sensor</t>
  </si>
  <si>
    <t>Notes</t>
  </si>
  <si>
    <t>Value</t>
  </si>
  <si>
    <t>ITEM</t>
  </si>
  <si>
    <t>calculated</t>
  </si>
  <si>
    <t>code_per_step</t>
  </si>
  <si>
    <t xml:space="preserve">qvalue </t>
  </si>
  <si>
    <t>mask</t>
  </si>
  <si>
    <t>Step_index</t>
  </si>
  <si>
    <t>DAC_code</t>
  </si>
  <si>
    <t>[in DAC]</t>
  </si>
  <si>
    <t>[in logical lens position]</t>
  </si>
  <si>
    <t>Inf DAC</t>
  </si>
  <si>
    <t>Macro DAC</t>
  </si>
  <si>
    <t>To be filled in customers</t>
  </si>
  <si>
    <t>Final calculated values</t>
  </si>
  <si>
    <t>Tunable</t>
  </si>
  <si>
    <t>Contents:</t>
  </si>
  <si>
    <t>Customer_sheet_for_unidirection_actuator</t>
  </si>
  <si>
    <t>DOF_unidirection_actuator</t>
  </si>
  <si>
    <t>DAC_to_Logical_index</t>
  </si>
  <si>
    <t>Final_Inf_DAC in 2's complement</t>
  </si>
  <si>
    <t>Final_Macro_DAC in 2's complement</t>
  </si>
  <si>
    <t>Far_end</t>
  </si>
  <si>
    <t>bits_used_in_actuator</t>
  </si>
  <si>
    <t>Inf_dac(from dac_to_logical_index tab)</t>
  </si>
  <si>
    <t>Macro_dac(from dac_to_logical_index tab)</t>
  </si>
  <si>
    <t>Logical_lens_pos (INF)</t>
  </si>
  <si>
    <t>Logical_lens_pos (MACRO)</t>
  </si>
  <si>
    <t>Macro_distance</t>
  </si>
  <si>
    <t>SINGLE_HYP_F_IDX</t>
  </si>
  <si>
    <t>Circle of Confusion(COC)</t>
  </si>
  <si>
    <t>n-bits_actuator</t>
  </si>
  <si>
    <t>Camera Mode Step_size</t>
  </si>
  <si>
    <t>IMX377</t>
  </si>
  <si>
    <t>lc898212xd</t>
  </si>
  <si>
    <t>m24c64s</t>
  </si>
  <si>
    <t>d0d0</t>
  </si>
  <si>
    <t>focused_dist[cm]</t>
  </si>
  <si>
    <t>near_dist[cm]</t>
  </si>
  <si>
    <t>far_dist[cm]</t>
  </si>
  <si>
    <t>:= um * Lens/um</t>
  </si>
  <si>
    <t>:=DAC/um</t>
  </si>
  <si>
    <t>:=Lens/um</t>
  </si>
  <si>
    <t>near_lens_pos</t>
  </si>
  <si>
    <t>far_lens_pos</t>
  </si>
  <si>
    <t>50cm lens pos</t>
  </si>
  <si>
    <t>sensotivity</t>
  </si>
  <si>
    <t>DOF RANGE IN TERMS OF LENS POSITION</t>
  </si>
  <si>
    <t>Fullsweep_stepsize</t>
  </si>
  <si>
    <t>Ask module vendor for this information.</t>
  </si>
  <si>
    <t xml:space="preserve">If the OTP obtained from vendor is in Hexadecimal then enter 1. If  the data is in decimal form then enter 0. </t>
  </si>
  <si>
    <r>
      <t>Is OTP data in Hex form</t>
    </r>
    <r>
      <rPr>
        <sz val="11"/>
        <color rgb="FF00B0F0"/>
        <rFont val="Calibri"/>
        <family val="2"/>
        <scheme val="minor"/>
      </rPr>
      <t>?</t>
    </r>
  </si>
  <si>
    <t>Actual number of bits of the actuator. Ask the vendor to know the exact bit number of the actuator.</t>
  </si>
  <si>
    <t>Confirm the macro distance used to calibrate macro_dac with the module vendor, typically this will be 10cm but crosscheck with vendor.</t>
  </si>
  <si>
    <r>
      <rPr>
        <b/>
        <sz val="11"/>
        <color theme="1"/>
        <rFont val="Calibri"/>
        <family val="2"/>
        <scheme val="minor"/>
      </rPr>
      <t xml:space="preserve">Note: </t>
    </r>
    <r>
      <rPr>
        <sz val="11"/>
        <color theme="1"/>
        <rFont val="Calibri"/>
        <family val="2"/>
        <scheme val="minor"/>
      </rPr>
      <t xml:space="preserve">This  sheet produces the DAC to logical index conversion from step_index 0 to 325 since the step_bound = 325 on the Customer_sheet_bidirectional sheet. If the step_bound is greater than 325, then extend the table by the appropropriate number of rows. </t>
    </r>
  </si>
  <si>
    <t>AF initial tuning procedure for bidirectional actuator</t>
  </si>
  <si>
    <t>Number of bits used in the actuator. Look into actuator header file (search for .data_size) to see how many bits being used in the driver.</t>
  </si>
  <si>
    <t>M</t>
  </si>
  <si>
    <t>Part 1: Complete the Customer_sheet_bidirectional worksheet</t>
  </si>
  <si>
    <t>1.</t>
  </si>
  <si>
    <t xml:space="preserve">Move to the Customer_sheet_bidirectional tab and type the applicable values in the yellow cells. </t>
  </si>
  <si>
    <t>The worksheet provides instructions as to the source of the information.</t>
  </si>
  <si>
    <r>
      <rPr>
        <b/>
        <sz val="11"/>
        <rFont val="Times New Roman"/>
        <family val="1"/>
      </rPr>
      <t>Note:</t>
    </r>
    <r>
      <rPr>
        <sz val="11"/>
        <rFont val="Arial"/>
        <family val="2"/>
      </rPr>
      <t xml:space="preserve"> Do not modify any of the other cells in the worksheet. Many of the cells contain formulas that use the values from the yellow cells as input.</t>
    </r>
  </si>
  <si>
    <t>2.</t>
  </si>
  <si>
    <t>If the Step_bound value is greater than 325, then move to the DAC_to_Logical_index tab and</t>
  </si>
  <si>
    <t>extend the step index table the appropriate number of rows. For example, if the Step_bound is</t>
  </si>
  <si>
    <t>336, then do the following:</t>
  </si>
  <si>
    <r>
      <rPr>
        <b/>
        <sz val="11"/>
        <rFont val="Arial"/>
        <family val="2"/>
      </rPr>
      <t xml:space="preserve">a.  </t>
    </r>
    <r>
      <rPr>
        <sz val="11"/>
        <rFont val="Arial"/>
        <family val="2"/>
      </rPr>
      <t>Select the last row in the table.</t>
    </r>
  </si>
  <si>
    <r>
      <rPr>
        <b/>
        <sz val="11"/>
        <rFont val="Arial"/>
        <family val="2"/>
      </rPr>
      <t>b.</t>
    </r>
    <r>
      <rPr>
        <sz val="11"/>
        <rFont val="Arial"/>
        <family val="2"/>
      </rPr>
      <t xml:space="preserve"> Right-click and drag the selection the appropriate number of rows (e.g., 10). The appropriate values are automatically populated when you release the mouse.</t>
    </r>
  </si>
  <si>
    <t>Copy the index and position values in the AF_Tuning section of the Customer_sheet_bidrectional tab to the AF tuning header as shown here.</t>
  </si>
  <si>
    <t>Example</t>
  </si>
  <si>
    <t>Part 2: Copy the values from the worksheet to the AF tuning header</t>
  </si>
  <si>
    <t>OTP data derived from the eeprom. Use format (hex or decimial) as identified in B17.</t>
  </si>
  <si>
    <t xml:space="preserve">Percentage of margin added on macro side. This value is found in the eeprom file associated with the sensor.  Enter this value as a percentage value not decimal and do not put -ve or +ve sign (e.g. 12 instead of -.12). </t>
  </si>
  <si>
    <t xml:space="preserve">Percentage of margin added on infinity side. This value is found in the eeprom file associated with the sensor.  Enter this value as a percentage value not decimal and do not put -ve or +ve sign (e.g. 12 instead of -.12). </t>
  </si>
  <si>
    <r>
      <t>q_value set in the actuator header</t>
    </r>
    <r>
      <rPr>
        <sz val="11"/>
        <rFont val="Calibri"/>
        <family val="2"/>
        <scheme val="minor"/>
      </rPr>
      <t xml:space="preserve"> located at mm-camera/mm-camera2/media-controller/modules/sensors/actuator/libs/[actuator name].h</t>
    </r>
  </si>
  <si>
    <r>
      <t>step_bound set in the actuator header</t>
    </r>
    <r>
      <rPr>
        <strike/>
        <sz val="11"/>
        <rFont val="Calibri"/>
        <family val="2"/>
        <scheme val="minor"/>
      </rPr>
      <t xml:space="preserve"> </t>
    </r>
    <r>
      <rPr>
        <sz val="11"/>
        <rFont val="Calibri"/>
        <family val="2"/>
        <scheme val="minor"/>
      </rPr>
      <t>located at mm-camera/mm-camera2/media-controller/modules/sensors/actuator/libs/[actuator name].h</t>
    </r>
  </si>
  <si>
    <t>AF initial tuning procedure for unidirectional actuator</t>
  </si>
  <si>
    <t>Part 1: Complete the Customer_sheet_unidirectional worksheet</t>
  </si>
  <si>
    <t xml:space="preserve">Move to the Customer_sheet_unidirectional tab and type the applicable values in the yellow cells. </t>
  </si>
  <si>
    <t>Set the region_size to 1.</t>
  </si>
  <si>
    <t>Copy the step bound from the worksheet to the header.</t>
  </si>
  <si>
    <t>Copy the values from scenario 1 to ringing_scenario [MOVE_NEAR].</t>
  </si>
  <si>
    <t>Copy the values from scenario 2 to ringing_scenario [MOVE_FAR].</t>
  </si>
  <si>
    <t>3.</t>
  </si>
  <si>
    <t>4.</t>
  </si>
  <si>
    <t>5.</t>
  </si>
  <si>
    <t>Part 2: Copy the values from the worksheet to the headers</t>
  </si>
  <si>
    <t>6.</t>
  </si>
  <si>
    <t xml:space="preserve"> AF actuator header</t>
  </si>
  <si>
    <r>
      <t xml:space="preserve">Copy the initial code from the worksheet to the AF </t>
    </r>
    <r>
      <rPr>
        <b/>
        <sz val="10"/>
        <rFont val="Arial"/>
        <family val="2"/>
      </rPr>
      <t>actuator</t>
    </r>
    <r>
      <rPr>
        <sz val="10"/>
        <rFont val="Arial"/>
        <family val="2"/>
      </rPr>
      <t xml:space="preserve"> header.</t>
    </r>
  </si>
  <si>
    <t xml:space="preserve"> AF tuning header</t>
  </si>
  <si>
    <t>Copy the values for each position from the worksheet to the AF tuning header.</t>
  </si>
  <si>
    <t>7.</t>
  </si>
  <si>
    <t>8.</t>
  </si>
  <si>
    <t>Copy the step_index_per_um value from the worksheet to the AF tuning header.</t>
  </si>
  <si>
    <t>9.</t>
  </si>
  <si>
    <t>Copy the values from the TAF_step_table in the worksheet to the AF tuning header. Repeat for the CAF_step_table and, if applicable, video mode.</t>
  </si>
  <si>
    <t>Copy the index values in the worksheet to the AF tuning header.</t>
  </si>
  <si>
    <r>
      <rPr>
        <b/>
        <sz val="11"/>
        <rFont val="Arial"/>
        <family val="2"/>
      </rPr>
      <t>Note:</t>
    </r>
    <r>
      <rPr>
        <sz val="11"/>
        <rFont val="Arial"/>
        <family val="2"/>
      </rPr>
      <t xml:space="preserve"> Do not modify any of the other cells in the worksheet. Many of the cells contain formulas that use the values from the yellow cells as input.</t>
    </r>
  </si>
  <si>
    <t xml:space="preserve">There are two parts in the initial tuning procedure for unidirectional actuators.
■ Part 1: Complete the Customer_sheet_unidirectional worksheet
■ Part 2: Copy the values from the worksheet to the headers (AF actuator header and AF tuning header)
Part 1 requires that you get the actuator sensor values (e.g., focal length, pixel size, etc.) from the module sensor vendor then enter those values into the Customer_sheet_bidirectional worksheet. The worksheet calculates default values with the proper DAC ranges based on these entries. 
</t>
  </si>
  <si>
    <t>In Part 2 of the procedure, you copy the calculated values from the blue cells in the worksheet to the AF actuator header and the AF tuning header.</t>
  </si>
  <si>
    <t>Instructions_unidirectional</t>
  </si>
  <si>
    <t>Instructions_bidirectional</t>
  </si>
  <si>
    <t>DOF_bidirectional_actuator</t>
  </si>
  <si>
    <t>Depth_of_field_calc</t>
  </si>
  <si>
    <r>
      <rPr>
        <b/>
        <sz val="8"/>
        <rFont val="Arial"/>
        <family val="2"/>
      </rPr>
      <t>Restricted Distribution</t>
    </r>
    <r>
      <rPr>
        <sz val="8"/>
        <rFont val="Arial"/>
        <family val="2"/>
      </rPr>
      <t>: Not to be distributed to anyone who is not an employee of either Qualcomm Technologies, Inc. or its affiliated companies without the express approval of Qualcomm Configuration Management.</t>
    </r>
  </si>
  <si>
    <r>
      <t xml:space="preserve">NO PUBLIC DISCLOSURE PERMITTED: </t>
    </r>
    <r>
      <rPr>
        <sz val="8"/>
        <rFont val="Arial"/>
        <family val="2"/>
      </rPr>
      <t xml:space="preserve">Please report postings of this document on public servers or websites to: DocCtrlAgent@qualcomm.com. </t>
    </r>
  </si>
  <si>
    <t>Qualcomm Technologies, Inc.
5775 Morehouse Drive
San Diego, CA 92121
U.S.A.</t>
  </si>
  <si>
    <t>© 2014, 2016 Qualcomm Technologies, Inc. All rights reserved.</t>
  </si>
  <si>
    <r>
      <t xml:space="preserve">Qualcomm is a trademark of Qualcomm Incorporated, registered in the United States and other countries. </t>
    </r>
    <r>
      <rPr>
        <sz val="8"/>
        <rFont val="Arial"/>
        <family val="2"/>
      </rPr>
      <t>Other product and brand names may be trademarks or registered trademarks of their respective owners.</t>
    </r>
  </si>
  <si>
    <t xml:space="preserve">
Qualcomm Technologies, Inc.</t>
  </si>
  <si>
    <t xml:space="preserve">There are two parts in the initial tuning procedure for bidirectional actuators.
■ Part 1: Complete the Customer_sheet_bidirectional worksheet
■ Part 2: Copy the values from the worksheet to the AF tuning header
Part 1 requires that you get the actuator sensor values (e.g., focal length, pixel size, etc.) from the module sensor vendor then enter those values into the Customer_sheet_bidirectional worksheet. The worksheet calculates index and position values based on these entries.
</t>
  </si>
  <si>
    <t xml:space="preserve"> In Part 2 of the procedure, you copy the calculated values from the worksheet to the AF tuning header.</t>
  </si>
  <si>
    <t>The optical parameters of camera modules are required by the auto focus solution to optimize focus search step sizes with respect to the calculated camera depth of focus. Ask the module vendor for this information.</t>
  </si>
  <si>
    <t>In order to move the lens by the intended physical distances, the lens movement per DAC code must be precisely known. This value can be estimated from the sample modules sent to Qcom but the distribution of module-to-module variation is not known. The distribution must be  known to determine whether this value needs to be calculated for each module based on the stored AF calibration data, if available.</t>
  </si>
  <si>
    <t>This value is fixed at 400 to maintain consistent tuning efforts across all modules.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</si>
</sst>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409]mmmm\ d\,\ yyyy;@"/>
    <numFmt numFmtId="165" formatCode="_-* #,##0_-;\-* #,##0_-;_-* &quot;-&quot;_-;_-@_-"/>
    <numFmt numFmtId="166" formatCode="_-* #,##0.00_-;\-* #,##0.00_-;_-* &quot;-&quot;??_-;_-@_-"/>
    <numFmt numFmtId="167" formatCode="_-&quot;F&quot;* #,##0_-;\-&quot;F&quot;* #,##0_-;_-&quot;F&quot;* &quot;-&quot;_-;_-@_-"/>
    <numFmt numFmtId="168" formatCode="_-&quot;F&quot;* #,##0.00_-;\-&quot;F&quot;* #,##0.00_-;_-&quot;F&quot;* &quot;-&quot;??_-;_-@_-"/>
    <numFmt numFmtId="169" formatCode="mmm\ yyyy"/>
  </numFmts>
  <fonts count="62" x14ac:knownFonts="1">
    <font>
      <sz val="10"/>
      <name val="Arial"/>
      <charset val="186"/>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b/>
      <sz val="12"/>
      <name val="Arial"/>
      <family val="2"/>
    </font>
    <font>
      <b/>
      <i/>
      <sz val="24"/>
      <name val="Arial"/>
      <family val="2"/>
    </font>
    <font>
      <sz val="12"/>
      <name val="Times New Roman"/>
      <family val="1"/>
    </font>
    <font>
      <b/>
      <u/>
      <sz val="12"/>
      <color indexed="12"/>
      <name val="Arial"/>
      <family val="2"/>
    </font>
    <font>
      <b/>
      <sz val="11"/>
      <name val="Arial"/>
      <family val="2"/>
    </font>
    <font>
      <b/>
      <i/>
      <sz val="17"/>
      <name val="Arial"/>
      <family val="2"/>
    </font>
    <font>
      <b/>
      <sz val="14"/>
      <name val="Arial"/>
      <family val="2"/>
    </font>
    <font>
      <b/>
      <i/>
      <sz val="22"/>
      <name val="Arial"/>
      <family val="2"/>
    </font>
    <font>
      <sz val="11"/>
      <color rgb="FFFF0000"/>
      <name val="Calibri"/>
      <family val="2"/>
      <scheme val="minor"/>
    </font>
    <font>
      <b/>
      <sz val="11"/>
      <color theme="1"/>
      <name val="Calibri"/>
      <family val="2"/>
      <scheme val="minor"/>
    </font>
    <font>
      <sz val="10"/>
      <color theme="1"/>
      <name val="Arial"/>
      <family val="2"/>
    </font>
    <font>
      <b/>
      <sz val="11"/>
      <color theme="1"/>
      <name val="Arial"/>
      <family val="2"/>
    </font>
    <font>
      <b/>
      <sz val="16"/>
      <color theme="3"/>
      <name val="Arial"/>
      <family val="2"/>
    </font>
    <font>
      <b/>
      <sz val="12"/>
      <color theme="1"/>
      <name val="Arial"/>
      <family val="2"/>
    </font>
    <font>
      <b/>
      <sz val="11.5"/>
      <name val="Calibri"/>
      <family val="2"/>
      <scheme val="minor"/>
    </font>
    <font>
      <b/>
      <sz val="11.5"/>
      <name val="Calibri"/>
      <family val="2"/>
    </font>
    <font>
      <b/>
      <i/>
      <sz val="10"/>
      <color theme="1"/>
      <name val="Arial"/>
      <family val="2"/>
    </font>
    <font>
      <b/>
      <sz val="10"/>
      <color theme="4"/>
      <name val="Arial"/>
      <family val="2"/>
    </font>
    <font>
      <sz val="11"/>
      <name val="Calibri"/>
      <family val="2"/>
      <scheme val="minor"/>
    </font>
    <font>
      <sz val="10"/>
      <color rgb="FFFF0000"/>
      <name val="Arial"/>
      <family val="2"/>
    </font>
    <font>
      <sz val="10"/>
      <color rgb="FF00B050"/>
      <name val="Arial"/>
      <family val="2"/>
    </font>
    <font>
      <b/>
      <sz val="11"/>
      <color rgb="FFFF0000"/>
      <name val="Calibri"/>
      <family val="2"/>
      <scheme val="minor"/>
    </font>
    <font>
      <sz val="11"/>
      <color rgb="FF002060"/>
      <name val="Calibri"/>
      <family val="2"/>
      <scheme val="minor"/>
    </font>
    <font>
      <sz val="20"/>
      <color rgb="FF333333"/>
      <name val="Arial"/>
      <family val="2"/>
    </font>
    <font>
      <b/>
      <sz val="11"/>
      <color theme="0"/>
      <name val="Calibri"/>
      <family val="2"/>
      <scheme val="minor"/>
    </font>
    <font>
      <b/>
      <sz val="11"/>
      <color rgb="FF0070C0"/>
      <name val="Calibri"/>
      <family val="2"/>
      <scheme val="minor"/>
    </font>
    <font>
      <b/>
      <i/>
      <sz val="10"/>
      <name val="Arial"/>
      <family val="2"/>
    </font>
    <font>
      <sz val="11"/>
      <color rgb="FF00B0F0"/>
      <name val="Calibri"/>
      <family val="2"/>
      <scheme val="minor"/>
    </font>
    <font>
      <sz val="11"/>
      <name val="Times New Roman"/>
      <family val="1"/>
    </font>
    <font>
      <sz val="12"/>
      <name val="Arial"/>
      <family val="2"/>
    </font>
    <font>
      <b/>
      <sz val="16"/>
      <name val="Arial"/>
      <family val="2"/>
    </font>
    <font>
      <sz val="11"/>
      <name val="Arial"/>
      <family val="2"/>
    </font>
    <font>
      <sz val="9"/>
      <name val="Arial"/>
      <family val="2"/>
    </font>
    <font>
      <i/>
      <sz val="9"/>
      <name val="Arial"/>
      <family val="2"/>
    </font>
    <font>
      <b/>
      <sz val="9"/>
      <name val="Arial"/>
      <family val="2"/>
    </font>
    <font>
      <sz val="16"/>
      <name val="Times New Roman"/>
      <family val="1"/>
    </font>
    <font>
      <b/>
      <sz val="20"/>
      <name val="Arial"/>
      <family val="2"/>
    </font>
    <font>
      <b/>
      <sz val="11"/>
      <name val="Times New Roman"/>
      <family val="1"/>
    </font>
    <font>
      <strike/>
      <sz val="11"/>
      <name val="Calibri"/>
      <family val="2"/>
      <scheme val="minor"/>
    </font>
    <font>
      <b/>
      <sz val="11"/>
      <color rgb="FF00B0F0"/>
      <name val="Arial"/>
      <family val="2"/>
    </font>
    <font>
      <sz val="8"/>
      <name val="Arial"/>
      <family val="2"/>
    </font>
    <font>
      <b/>
      <sz val="8"/>
      <name val="Arial"/>
      <family val="2"/>
    </font>
    <font>
      <sz val="14"/>
      <name val="Arial"/>
      <family val="2"/>
    </font>
    <font>
      <b/>
      <sz val="22"/>
      <name val="Arial"/>
      <family val="2"/>
    </font>
    <font>
      <i/>
      <sz val="12"/>
      <name val="Arial"/>
      <family val="2"/>
    </font>
  </fonts>
  <fills count="17">
    <fill>
      <patternFill patternType="none"/>
    </fill>
    <fill>
      <patternFill patternType="gray125"/>
    </fill>
    <fill>
      <patternFill patternType="solid">
        <fgColor rgb="FFECECEC"/>
        <bgColor indexed="64"/>
      </patternFill>
    </fill>
    <fill>
      <patternFill patternType="solid">
        <fgColor rgb="FFE5DEF2"/>
        <bgColor indexed="64"/>
      </patternFill>
    </fill>
    <fill>
      <patternFill patternType="solid">
        <fgColor rgb="FFFFFF0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00B050"/>
        <bgColor indexed="64"/>
      </patternFill>
    </fill>
    <fill>
      <patternFill patternType="solid">
        <fgColor rgb="FF00B0F0"/>
        <bgColor indexed="64"/>
      </patternFill>
    </fill>
    <fill>
      <patternFill patternType="solid">
        <fgColor rgb="FFA5A5A5"/>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6"/>
        <bgColor indexed="64"/>
      </patternFill>
    </fill>
    <fill>
      <patternFill patternType="solid">
        <fgColor theme="9"/>
        <bgColor indexed="64"/>
      </patternFill>
    </fill>
    <fill>
      <patternFill patternType="solid">
        <fgColor rgb="FFFFC000"/>
        <bgColor indexed="64"/>
      </patternFill>
    </fill>
    <fill>
      <patternFill patternType="solid">
        <fgColor theme="0"/>
        <bgColor indexed="64"/>
      </patternFill>
    </fill>
    <fill>
      <patternFill patternType="solid">
        <fgColor rgb="FFDA9694"/>
        <bgColor indexed="64"/>
      </patternFill>
    </fill>
  </fills>
  <borders count="78">
    <border>
      <left/>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auto="1"/>
      </left>
      <right style="medium">
        <color auto="1"/>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auto="1"/>
      </left>
      <right/>
      <top style="medium">
        <color indexed="64"/>
      </top>
      <bottom style="thin">
        <color indexed="64"/>
      </bottom>
      <diagonal/>
    </border>
    <border>
      <left/>
      <right style="medium">
        <color auto="1"/>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hair">
        <color auto="1"/>
      </right>
      <top style="medium">
        <color auto="1"/>
      </top>
      <bottom style="hair">
        <color auto="1"/>
      </bottom>
      <diagonal/>
    </border>
    <border>
      <left style="hair">
        <color auto="1"/>
      </left>
      <right style="thin">
        <color auto="1"/>
      </right>
      <top style="medium">
        <color auto="1"/>
      </top>
      <bottom style="hair">
        <color auto="1"/>
      </bottom>
      <diagonal/>
    </border>
    <border>
      <left style="thin">
        <color auto="1"/>
      </left>
      <right/>
      <top style="medium">
        <color auto="1"/>
      </top>
      <bottom style="hair">
        <color auto="1"/>
      </bottom>
      <diagonal/>
    </border>
    <border>
      <left/>
      <right style="medium">
        <color auto="1"/>
      </right>
      <top style="medium">
        <color auto="1"/>
      </top>
      <bottom style="hair">
        <color auto="1"/>
      </bottom>
      <diagonal/>
    </border>
    <border>
      <left style="medium">
        <color auto="1"/>
      </left>
      <right style="thin">
        <color auto="1"/>
      </right>
      <top style="medium">
        <color auto="1"/>
      </top>
      <bottom/>
      <diagonal/>
    </border>
    <border>
      <left style="medium">
        <color auto="1"/>
      </left>
      <right style="hair">
        <color auto="1"/>
      </right>
      <top style="hair">
        <color auto="1"/>
      </top>
      <bottom style="medium">
        <color auto="1"/>
      </bottom>
      <diagonal/>
    </border>
    <border>
      <left style="hair">
        <color auto="1"/>
      </left>
      <right style="thin">
        <color auto="1"/>
      </right>
      <top style="hair">
        <color auto="1"/>
      </top>
      <bottom style="medium">
        <color auto="1"/>
      </bottom>
      <diagonal/>
    </border>
    <border>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thin">
        <color auto="1"/>
      </right>
      <top/>
      <bottom style="medium">
        <color auto="1"/>
      </bottom>
      <diagonal/>
    </border>
    <border>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thin">
        <color auto="1"/>
      </left>
      <right style="thin">
        <color auto="1"/>
      </right>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thin">
        <color auto="1"/>
      </right>
      <top style="hair">
        <color auto="1"/>
      </top>
      <bottom/>
      <diagonal/>
    </border>
    <border>
      <left/>
      <right style="hair">
        <color auto="1"/>
      </right>
      <top style="hair">
        <color auto="1"/>
      </top>
      <bottom/>
      <diagonal/>
    </border>
    <border>
      <left style="hair">
        <color auto="1"/>
      </left>
      <right style="medium">
        <color auto="1"/>
      </right>
      <top style="hair">
        <color auto="1"/>
      </top>
      <bottom/>
      <diagonal/>
    </border>
    <border>
      <left style="hair">
        <color auto="1"/>
      </left>
      <right style="thin">
        <color auto="1"/>
      </right>
      <top/>
      <bottom/>
      <diagonal/>
    </border>
    <border>
      <left style="hair">
        <color auto="1"/>
      </left>
      <right style="thin">
        <color auto="1"/>
      </right>
      <top/>
      <bottom style="hair">
        <color auto="1"/>
      </bottom>
      <diagonal/>
    </border>
    <border>
      <left style="medium">
        <color auto="1"/>
      </left>
      <right style="hair">
        <color auto="1"/>
      </right>
      <top/>
      <bottom style="hair">
        <color auto="1"/>
      </bottom>
      <diagonal/>
    </border>
    <border>
      <left/>
      <right style="hair">
        <color auto="1"/>
      </right>
      <top/>
      <bottom style="hair">
        <color auto="1"/>
      </bottom>
      <diagonal/>
    </border>
    <border>
      <left style="hair">
        <color auto="1"/>
      </left>
      <right style="medium">
        <color auto="1"/>
      </right>
      <top/>
      <bottom style="hair">
        <color auto="1"/>
      </bottom>
      <diagonal/>
    </border>
    <border>
      <left style="thin">
        <color auto="1"/>
      </left>
      <right style="hair">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medium">
        <color auto="1"/>
      </left>
      <right style="hair">
        <color auto="1"/>
      </right>
      <top/>
      <bottom style="medium">
        <color auto="1"/>
      </bottom>
      <diagonal/>
    </border>
    <border>
      <left style="hair">
        <color auto="1"/>
      </left>
      <right style="thin">
        <color auto="1"/>
      </right>
      <top/>
      <bottom style="medium">
        <color auto="1"/>
      </bottom>
      <diagonal/>
    </border>
    <border>
      <left style="thin">
        <color auto="1"/>
      </left>
      <right style="hair">
        <color auto="1"/>
      </right>
      <top/>
      <bottom style="medium">
        <color auto="1"/>
      </bottom>
      <diagonal/>
    </border>
    <border>
      <left style="hair">
        <color auto="1"/>
      </left>
      <right style="medium">
        <color auto="1"/>
      </right>
      <top/>
      <bottom style="medium">
        <color auto="1"/>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right style="thin">
        <color indexed="64"/>
      </right>
      <top/>
      <bottom style="medium">
        <color indexed="64"/>
      </bottom>
      <diagonal/>
    </border>
  </borders>
  <cellStyleXfs count="13">
    <xf numFmtId="164" fontId="0" fillId="0" borderId="0" applyBorder="0"/>
    <xf numFmtId="164" fontId="15" fillId="0" borderId="0" applyNumberFormat="0" applyFill="0" applyBorder="0" applyAlignment="0" applyProtection="0">
      <alignment vertical="top"/>
      <protection locked="0"/>
    </xf>
    <xf numFmtId="164" fontId="19" fillId="0" borderId="0" applyBorder="0"/>
    <xf numFmtId="164" fontId="14" fillId="0" borderId="0"/>
    <xf numFmtId="165" fontId="14" fillId="0" borderId="0" applyFont="0" applyFill="0" applyBorder="0" applyAlignment="0" applyProtection="0"/>
    <xf numFmtId="166" fontId="14" fillId="0" borderId="0" applyFont="0" applyFill="0" applyBorder="0" applyAlignment="0" applyProtection="0"/>
    <xf numFmtId="167" fontId="14" fillId="0" borderId="0" applyFont="0" applyFill="0" applyBorder="0" applyAlignment="0" applyProtection="0"/>
    <xf numFmtId="168" fontId="14" fillId="0" borderId="0" applyFont="0" applyFill="0" applyBorder="0" applyAlignment="0" applyProtection="0"/>
    <xf numFmtId="164" fontId="14" fillId="0" borderId="0" applyBorder="0"/>
    <xf numFmtId="0" fontId="27" fillId="0" borderId="0"/>
    <xf numFmtId="0" fontId="41" fillId="9" borderId="72" applyNumberFormat="0" applyAlignment="0" applyProtection="0"/>
    <xf numFmtId="0" fontId="12" fillId="0" borderId="0"/>
    <xf numFmtId="0" fontId="11" fillId="0" borderId="0"/>
  </cellStyleXfs>
  <cellXfs count="336">
    <xf numFmtId="164" fontId="0" fillId="0" borderId="0" xfId="0"/>
    <xf numFmtId="14" fontId="19" fillId="0" borderId="0" xfId="2" applyNumberFormat="1"/>
    <xf numFmtId="0" fontId="14" fillId="0" borderId="0" xfId="3" applyNumberFormat="1" applyProtection="1">
      <protection locked="0"/>
    </xf>
    <xf numFmtId="0" fontId="14" fillId="0" borderId="0" xfId="3" applyNumberFormat="1"/>
    <xf numFmtId="0" fontId="18" fillId="0" borderId="0" xfId="2" applyNumberFormat="1" applyFont="1" applyAlignment="1" applyProtection="1">
      <alignment horizontal="right" wrapText="1"/>
      <protection locked="0"/>
    </xf>
    <xf numFmtId="0" fontId="14" fillId="0" borderId="0" xfId="3" applyNumberFormat="1" applyFont="1"/>
    <xf numFmtId="0" fontId="14" fillId="0" borderId="0" xfId="8" applyNumberFormat="1"/>
    <xf numFmtId="0" fontId="19" fillId="0" borderId="0" xfId="2" applyNumberFormat="1"/>
    <xf numFmtId="0" fontId="19" fillId="0" borderId="0" xfId="2" applyNumberFormat="1" applyFill="1"/>
    <xf numFmtId="0" fontId="20" fillId="0" borderId="0" xfId="1" applyNumberFormat="1" applyFont="1" applyAlignment="1" applyProtection="1"/>
    <xf numFmtId="0" fontId="18" fillId="0" borderId="0" xfId="2" applyNumberFormat="1" applyFont="1" applyAlignment="1">
      <alignment wrapText="1"/>
    </xf>
    <xf numFmtId="0" fontId="19" fillId="0" borderId="0" xfId="2" applyNumberFormat="1" applyFont="1" applyAlignment="1">
      <alignment wrapText="1"/>
    </xf>
    <xf numFmtId="0" fontId="14" fillId="0" borderId="0" xfId="8" applyNumberFormat="1" applyAlignment="1"/>
    <xf numFmtId="164" fontId="22" fillId="0" borderId="0" xfId="2" applyFont="1" applyAlignment="1" applyProtection="1">
      <alignment horizontal="right" wrapText="1"/>
      <protection locked="0"/>
    </xf>
    <xf numFmtId="164" fontId="19" fillId="0" borderId="0" xfId="2" applyBorder="1" applyProtection="1">
      <protection locked="0"/>
    </xf>
    <xf numFmtId="164" fontId="17" fillId="0" borderId="0" xfId="2" applyFont="1" applyBorder="1" applyAlignment="1" applyProtection="1">
      <alignment horizontal="center"/>
      <protection locked="0"/>
    </xf>
    <xf numFmtId="164" fontId="20" fillId="0" borderId="0" xfId="1" applyFont="1" applyAlignment="1" applyProtection="1">
      <alignment horizontal="center" wrapText="1"/>
      <protection locked="0"/>
    </xf>
    <xf numFmtId="0" fontId="14" fillId="0" borderId="0" xfId="3" applyNumberFormat="1" applyFill="1"/>
    <xf numFmtId="164" fontId="23" fillId="0" borderId="0" xfId="2" applyFont="1" applyBorder="1" applyAlignment="1" applyProtection="1">
      <alignment horizontal="center"/>
      <protection locked="0"/>
    </xf>
    <xf numFmtId="0" fontId="19" fillId="0" borderId="0" xfId="2" applyNumberFormat="1" applyAlignment="1"/>
    <xf numFmtId="0" fontId="27" fillId="2" borderId="0" xfId="9" applyFill="1" applyAlignment="1">
      <alignment wrapText="1"/>
    </xf>
    <xf numFmtId="0" fontId="14" fillId="2" borderId="0" xfId="9" applyFont="1" applyFill="1" applyAlignment="1">
      <alignment wrapText="1"/>
    </xf>
    <xf numFmtId="0" fontId="27" fillId="2" borderId="0" xfId="9" applyFill="1" applyAlignment="1">
      <alignment horizontal="center" wrapText="1"/>
    </xf>
    <xf numFmtId="0" fontId="27" fillId="2" borderId="0" xfId="9" applyFill="1" applyAlignment="1">
      <alignment horizontal="left" wrapText="1" indent="1"/>
    </xf>
    <xf numFmtId="0" fontId="28" fillId="2" borderId="0" xfId="9" applyFont="1" applyFill="1" applyAlignment="1">
      <alignment horizontal="center" vertical="center" wrapText="1"/>
    </xf>
    <xf numFmtId="0" fontId="30" fillId="3" borderId="15" xfId="9" applyFont="1" applyFill="1" applyBorder="1" applyAlignment="1">
      <alignment vertical="center" wrapText="1"/>
    </xf>
    <xf numFmtId="0" fontId="14" fillId="3" borderId="16" xfId="9" applyFont="1" applyFill="1" applyBorder="1" applyAlignment="1">
      <alignment wrapText="1"/>
    </xf>
    <xf numFmtId="0" fontId="28" fillId="3" borderId="17" xfId="9" applyFont="1" applyFill="1" applyBorder="1" applyAlignment="1">
      <alignment horizontal="center" vertical="center" wrapText="1"/>
    </xf>
    <xf numFmtId="0" fontId="31" fillId="3" borderId="0" xfId="9" applyFont="1" applyFill="1" applyBorder="1" applyAlignment="1">
      <alignment horizontal="center" vertical="center" wrapText="1"/>
    </xf>
    <xf numFmtId="0" fontId="13" fillId="3" borderId="22" xfId="9" applyFont="1" applyFill="1" applyBorder="1" applyAlignment="1">
      <alignment horizontal="left" vertical="center" wrapText="1" indent="1"/>
    </xf>
    <xf numFmtId="0" fontId="16" fillId="3" borderId="0" xfId="9" applyFont="1" applyFill="1" applyBorder="1" applyAlignment="1">
      <alignment horizontal="center" vertical="center" wrapText="1"/>
    </xf>
    <xf numFmtId="0" fontId="16" fillId="4" borderId="19" xfId="9" applyFont="1" applyFill="1" applyBorder="1" applyAlignment="1">
      <alignment horizontal="center" vertical="center" wrapText="1"/>
    </xf>
    <xf numFmtId="0" fontId="16" fillId="4" borderId="20" xfId="9" applyFont="1" applyFill="1" applyBorder="1" applyAlignment="1">
      <alignment horizontal="center" vertical="center" wrapText="1"/>
    </xf>
    <xf numFmtId="0" fontId="16" fillId="4" borderId="21" xfId="9" applyFont="1" applyFill="1" applyBorder="1" applyAlignment="1">
      <alignment horizontal="center" vertical="center" wrapText="1"/>
    </xf>
    <xf numFmtId="0" fontId="16" fillId="4" borderId="23" xfId="9" applyFont="1" applyFill="1" applyBorder="1" applyAlignment="1">
      <alignment horizontal="center" vertical="center" wrapText="1"/>
    </xf>
    <xf numFmtId="0" fontId="16" fillId="4" borderId="2" xfId="9" applyFont="1" applyFill="1" applyBorder="1" applyAlignment="1">
      <alignment horizontal="center" vertical="center" wrapText="1"/>
    </xf>
    <xf numFmtId="0" fontId="16" fillId="4" borderId="24" xfId="9" applyFont="1" applyFill="1" applyBorder="1" applyAlignment="1">
      <alignment horizontal="center" vertical="center" wrapText="1"/>
    </xf>
    <xf numFmtId="0" fontId="16" fillId="4" borderId="26" xfId="9" applyFont="1" applyFill="1" applyBorder="1" applyAlignment="1">
      <alignment horizontal="center" vertical="center" wrapText="1"/>
    </xf>
    <xf numFmtId="0" fontId="16" fillId="4" borderId="1" xfId="9" applyFont="1" applyFill="1" applyBorder="1" applyAlignment="1">
      <alignment horizontal="center" vertical="center" wrapText="1"/>
    </xf>
    <xf numFmtId="0" fontId="16" fillId="4" borderId="27" xfId="9" applyFont="1" applyFill="1" applyBorder="1" applyAlignment="1">
      <alignment horizontal="center" vertical="center" wrapText="1"/>
    </xf>
    <xf numFmtId="0" fontId="26" fillId="3" borderId="31" xfId="9" applyFont="1" applyFill="1" applyBorder="1" applyAlignment="1">
      <alignment horizontal="center" vertical="center" wrapText="1"/>
    </xf>
    <xf numFmtId="0" fontId="27" fillId="2" borderId="0" xfId="9" applyFill="1" applyBorder="1" applyAlignment="1">
      <alignment wrapText="1"/>
    </xf>
    <xf numFmtId="0" fontId="30" fillId="2" borderId="2" xfId="9" applyFont="1" applyFill="1" applyBorder="1" applyAlignment="1">
      <alignment horizontal="center" vertical="center" wrapText="1"/>
    </xf>
    <xf numFmtId="0" fontId="27" fillId="2" borderId="0" xfId="9" applyFill="1" applyAlignment="1">
      <alignment horizontal="right" wrapText="1"/>
    </xf>
    <xf numFmtId="0" fontId="27" fillId="6" borderId="6" xfId="9" applyFill="1" applyBorder="1" applyAlignment="1">
      <alignment horizontal="center" wrapText="1"/>
    </xf>
    <xf numFmtId="0" fontId="27" fillId="2" borderId="0" xfId="9" applyFill="1" applyAlignment="1">
      <alignment horizontal="left" vertical="center" wrapText="1"/>
    </xf>
    <xf numFmtId="0" fontId="14" fillId="2" borderId="0" xfId="9" applyFont="1" applyFill="1" applyAlignment="1">
      <alignment horizontal="center" wrapText="1"/>
    </xf>
    <xf numFmtId="0" fontId="27" fillId="0" borderId="0" xfId="9"/>
    <xf numFmtId="0" fontId="27" fillId="4" borderId="29" xfId="9" applyFill="1" applyBorder="1" applyAlignment="1">
      <alignment horizontal="center"/>
    </xf>
    <xf numFmtId="0" fontId="27" fillId="7" borderId="24" xfId="9" applyFill="1" applyBorder="1"/>
    <xf numFmtId="0" fontId="25" fillId="4" borderId="23" xfId="9" applyFont="1" applyFill="1" applyBorder="1"/>
    <xf numFmtId="0" fontId="27" fillId="4" borderId="24" xfId="9" applyFill="1" applyBorder="1" applyAlignment="1">
      <alignment horizontal="right"/>
    </xf>
    <xf numFmtId="0" fontId="36" fillId="4" borderId="29" xfId="9" applyFont="1" applyFill="1" applyBorder="1" applyAlignment="1">
      <alignment horizontal="left"/>
    </xf>
    <xf numFmtId="0" fontId="27" fillId="4" borderId="29" xfId="9" applyFill="1" applyBorder="1" applyAlignment="1">
      <alignment horizontal="left"/>
    </xf>
    <xf numFmtId="0" fontId="27" fillId="4" borderId="24" xfId="9" applyFill="1" applyBorder="1"/>
    <xf numFmtId="0" fontId="27" fillId="8" borderId="24" xfId="9" applyFill="1" applyBorder="1"/>
    <xf numFmtId="0" fontId="37" fillId="4" borderId="0" xfId="9" applyFont="1" applyFill="1" applyAlignment="1">
      <alignment horizontal="right"/>
    </xf>
    <xf numFmtId="0" fontId="27" fillId="8" borderId="27" xfId="9" applyFill="1" applyBorder="1" applyAlignment="1">
      <alignment horizontal="right"/>
    </xf>
    <xf numFmtId="0" fontId="25" fillId="8" borderId="26" xfId="9" applyFont="1" applyFill="1" applyBorder="1"/>
    <xf numFmtId="0" fontId="25" fillId="4" borderId="26" xfId="9" applyFont="1" applyFill="1" applyBorder="1"/>
    <xf numFmtId="0" fontId="27" fillId="4" borderId="27" xfId="9" applyFill="1" applyBorder="1" applyAlignment="1"/>
    <xf numFmtId="0" fontId="27" fillId="0" borderId="0" xfId="9" applyFill="1"/>
    <xf numFmtId="0" fontId="38" fillId="0" borderId="0" xfId="9" applyFont="1"/>
    <xf numFmtId="0" fontId="39" fillId="4" borderId="37" xfId="9" applyFont="1" applyFill="1" applyBorder="1"/>
    <xf numFmtId="0" fontId="39" fillId="4" borderId="38" xfId="9" applyFont="1" applyFill="1" applyBorder="1"/>
    <xf numFmtId="0" fontId="39" fillId="4" borderId="42" xfId="9" applyFont="1" applyFill="1" applyBorder="1"/>
    <xf numFmtId="0" fontId="39" fillId="4" borderId="43" xfId="9" applyFont="1" applyFill="1" applyBorder="1"/>
    <xf numFmtId="0" fontId="39" fillId="4" borderId="44" xfId="9" applyFont="1" applyFill="1" applyBorder="1"/>
    <xf numFmtId="0" fontId="39" fillId="4" borderId="45" xfId="9" applyFont="1" applyFill="1" applyBorder="1"/>
    <xf numFmtId="0" fontId="40" fillId="0" borderId="0" xfId="9" applyFont="1"/>
    <xf numFmtId="0" fontId="27" fillId="8" borderId="0" xfId="9" applyFill="1"/>
    <xf numFmtId="0" fontId="27" fillId="0" borderId="37" xfId="9" applyBorder="1"/>
    <xf numFmtId="0" fontId="27" fillId="0" borderId="38" xfId="9" applyBorder="1"/>
    <xf numFmtId="0" fontId="27" fillId="0" borderId="47" xfId="9" applyBorder="1"/>
    <xf numFmtId="0" fontId="27" fillId="0" borderId="48" xfId="9" applyBorder="1"/>
    <xf numFmtId="0" fontId="35" fillId="0" borderId="49" xfId="9" applyFont="1" applyBorder="1"/>
    <xf numFmtId="0" fontId="35" fillId="0" borderId="4" xfId="9" applyFont="1" applyBorder="1"/>
    <xf numFmtId="0" fontId="35" fillId="0" borderId="50" xfId="9" applyFont="1" applyBorder="1"/>
    <xf numFmtId="0" fontId="35" fillId="0" borderId="51" xfId="9" applyFont="1" applyBorder="1"/>
    <xf numFmtId="0" fontId="35" fillId="0" borderId="52" xfId="9" applyFont="1" applyBorder="1"/>
    <xf numFmtId="0" fontId="35" fillId="0" borderId="53" xfId="9" applyFont="1" applyBorder="1"/>
    <xf numFmtId="0" fontId="27" fillId="0" borderId="50" xfId="9" applyBorder="1"/>
    <xf numFmtId="0" fontId="27" fillId="0" borderId="51" xfId="9" applyBorder="1"/>
    <xf numFmtId="0" fontId="27" fillId="0" borderId="52" xfId="9" applyBorder="1"/>
    <xf numFmtId="0" fontId="27" fillId="0" borderId="53" xfId="9" applyBorder="1"/>
    <xf numFmtId="0" fontId="27" fillId="4" borderId="54" xfId="9" applyFill="1" applyBorder="1"/>
    <xf numFmtId="0" fontId="27" fillId="4" borderId="55" xfId="9" applyFill="1" applyBorder="1"/>
    <xf numFmtId="0" fontId="27" fillId="4" borderId="56" xfId="9" applyFill="1" applyBorder="1"/>
    <xf numFmtId="0" fontId="27" fillId="4" borderId="57" xfId="9" applyFill="1" applyBorder="1"/>
    <xf numFmtId="0" fontId="35" fillId="4" borderId="49" xfId="9" applyFont="1" applyFill="1" applyBorder="1"/>
    <xf numFmtId="0" fontId="35" fillId="4" borderId="4" xfId="9" applyFont="1" applyFill="1" applyBorder="1"/>
    <xf numFmtId="0" fontId="27" fillId="0" borderId="58" xfId="9" applyFill="1" applyBorder="1"/>
    <xf numFmtId="0" fontId="35" fillId="0" borderId="58" xfId="9" applyFont="1" applyFill="1" applyBorder="1"/>
    <xf numFmtId="0" fontId="27" fillId="0" borderId="58" xfId="9" applyBorder="1"/>
    <xf numFmtId="0" fontId="27" fillId="0" borderId="50" xfId="9" applyFill="1" applyBorder="1"/>
    <xf numFmtId="0" fontId="27" fillId="0" borderId="52" xfId="9" applyFill="1" applyBorder="1"/>
    <xf numFmtId="0" fontId="27" fillId="0" borderId="53" xfId="9" applyFill="1" applyBorder="1"/>
    <xf numFmtId="0" fontId="27" fillId="0" borderId="59" xfId="9" applyFill="1" applyBorder="1"/>
    <xf numFmtId="0" fontId="35" fillId="0" borderId="60" xfId="9" applyFont="1" applyBorder="1"/>
    <xf numFmtId="0" fontId="35" fillId="0" borderId="59" xfId="9" applyFont="1" applyBorder="1"/>
    <xf numFmtId="0" fontId="35" fillId="0" borderId="61" xfId="9" applyFont="1" applyBorder="1"/>
    <xf numFmtId="0" fontId="35" fillId="0" borderId="62" xfId="9" applyFont="1" applyBorder="1"/>
    <xf numFmtId="0" fontId="27" fillId="0" borderId="51" xfId="9" applyFill="1" applyBorder="1"/>
    <xf numFmtId="0" fontId="27" fillId="0" borderId="63" xfId="9" applyBorder="1"/>
    <xf numFmtId="0" fontId="27" fillId="0" borderId="64" xfId="9" applyFont="1" applyBorder="1" applyAlignment="1">
      <alignment horizontal="right"/>
    </xf>
    <xf numFmtId="0" fontId="27" fillId="0" borderId="65" xfId="9" applyBorder="1"/>
    <xf numFmtId="0" fontId="27" fillId="0" borderId="66" xfId="9" applyBorder="1"/>
    <xf numFmtId="0" fontId="27" fillId="0" borderId="67" xfId="9" applyBorder="1"/>
    <xf numFmtId="0" fontId="27" fillId="0" borderId="68" xfId="9" applyBorder="1" applyAlignment="1">
      <alignment horizontal="right"/>
    </xf>
    <xf numFmtId="0" fontId="27" fillId="0" borderId="69" xfId="9" applyBorder="1"/>
    <xf numFmtId="0" fontId="27" fillId="0" borderId="70" xfId="9" applyBorder="1"/>
    <xf numFmtId="0" fontId="27" fillId="0" borderId="71" xfId="9" applyBorder="1"/>
    <xf numFmtId="0" fontId="27" fillId="4" borderId="29" xfId="9" applyFill="1" applyBorder="1" applyAlignment="1">
      <alignment horizontal="center"/>
    </xf>
    <xf numFmtId="0" fontId="41" fillId="9" borderId="72" xfId="10" applyAlignment="1">
      <alignment horizontal="center"/>
    </xf>
    <xf numFmtId="0" fontId="27" fillId="0" borderId="0" xfId="9" applyAlignment="1"/>
    <xf numFmtId="0" fontId="11" fillId="0" borderId="0" xfId="12"/>
    <xf numFmtId="0" fontId="11" fillId="0" borderId="0" xfId="12" applyAlignment="1">
      <alignment horizontal="center"/>
    </xf>
    <xf numFmtId="0" fontId="42" fillId="0" borderId="0" xfId="12" applyFont="1"/>
    <xf numFmtId="0" fontId="39" fillId="0" borderId="0" xfId="12" applyFont="1"/>
    <xf numFmtId="0" fontId="11" fillId="0" borderId="0" xfId="12" applyFill="1" applyBorder="1" applyAlignment="1">
      <alignment horizontal="center"/>
    </xf>
    <xf numFmtId="0" fontId="11" fillId="10" borderId="73" xfId="12" applyFill="1" applyBorder="1"/>
    <xf numFmtId="0" fontId="11" fillId="10" borderId="2" xfId="12" applyFill="1" applyBorder="1"/>
    <xf numFmtId="0" fontId="11" fillId="11" borderId="2" xfId="12" applyFill="1" applyBorder="1" applyAlignment="1">
      <alignment horizontal="center"/>
    </xf>
    <xf numFmtId="0" fontId="25" fillId="0" borderId="0" xfId="12" applyFont="1"/>
    <xf numFmtId="0" fontId="11" fillId="0" borderId="0" xfId="12" applyFont="1"/>
    <xf numFmtId="0" fontId="11" fillId="0" borderId="0" xfId="12" applyAlignment="1">
      <alignment horizontal="left"/>
    </xf>
    <xf numFmtId="0" fontId="26" fillId="0" borderId="2" xfId="12" applyFont="1" applyBorder="1"/>
    <xf numFmtId="0" fontId="26" fillId="0" borderId="2" xfId="12" applyFont="1" applyBorder="1" applyAlignment="1">
      <alignment horizontal="center"/>
    </xf>
    <xf numFmtId="11" fontId="11" fillId="0" borderId="0" xfId="12" applyNumberFormat="1"/>
    <xf numFmtId="0" fontId="11" fillId="4" borderId="2" xfId="12" applyFill="1" applyBorder="1" applyAlignment="1">
      <alignment horizontal="center"/>
    </xf>
    <xf numFmtId="0" fontId="35" fillId="0" borderId="4" xfId="9" applyFont="1" applyFill="1" applyBorder="1"/>
    <xf numFmtId="0" fontId="11" fillId="12" borderId="2" xfId="12" applyFill="1" applyBorder="1" applyAlignment="1">
      <alignment horizontal="center"/>
    </xf>
    <xf numFmtId="0" fontId="11" fillId="13" borderId="2" xfId="12" applyFill="1" applyBorder="1" applyAlignment="1">
      <alignment horizontal="center"/>
    </xf>
    <xf numFmtId="0" fontId="11" fillId="13" borderId="2" xfId="12" applyFont="1" applyFill="1" applyBorder="1" applyAlignment="1">
      <alignment horizontal="center"/>
    </xf>
    <xf numFmtId="0" fontId="21" fillId="5" borderId="0" xfId="9" applyFont="1" applyFill="1" applyBorder="1" applyAlignment="1">
      <alignment horizontal="center" vertical="center" wrapText="1"/>
    </xf>
    <xf numFmtId="0" fontId="16" fillId="13" borderId="0" xfId="3" applyNumberFormat="1" applyFont="1" applyFill="1" applyProtection="1">
      <protection locked="0"/>
    </xf>
    <xf numFmtId="0" fontId="43" fillId="4" borderId="0" xfId="3" applyNumberFormat="1" applyFont="1" applyFill="1" applyAlignment="1" applyProtection="1">
      <alignment horizontal="center"/>
      <protection locked="0"/>
    </xf>
    <xf numFmtId="0" fontId="11" fillId="0" borderId="0" xfId="12" applyAlignment="1">
      <alignment horizontal="center" vertical="center"/>
    </xf>
    <xf numFmtId="0" fontId="39" fillId="4" borderId="19" xfId="9" applyFont="1" applyFill="1" applyBorder="1" applyAlignment="1">
      <alignment horizontal="center" vertical="center"/>
    </xf>
    <xf numFmtId="0" fontId="39" fillId="4" borderId="20" xfId="9" applyFont="1" applyFill="1" applyBorder="1" applyAlignment="1">
      <alignment horizontal="center" vertical="center"/>
    </xf>
    <xf numFmtId="0" fontId="39" fillId="4" borderId="21" xfId="9" applyFont="1" applyFill="1" applyBorder="1" applyAlignment="1">
      <alignment horizontal="center" vertical="center"/>
    </xf>
    <xf numFmtId="0" fontId="39" fillId="4" borderId="26" xfId="9" applyFont="1" applyFill="1" applyBorder="1" applyAlignment="1">
      <alignment horizontal="center" vertical="center"/>
    </xf>
    <xf numFmtId="0" fontId="39" fillId="4" borderId="1" xfId="9" applyFont="1" applyFill="1" applyBorder="1" applyAlignment="1">
      <alignment horizontal="center" vertical="center"/>
    </xf>
    <xf numFmtId="0" fontId="39" fillId="4" borderId="27" xfId="9" applyFont="1" applyFill="1" applyBorder="1" applyAlignment="1">
      <alignment horizontal="center" vertical="center"/>
    </xf>
    <xf numFmtId="0" fontId="10" fillId="0" borderId="0" xfId="12" applyFont="1"/>
    <xf numFmtId="0" fontId="25" fillId="4" borderId="74" xfId="9" applyFont="1" applyFill="1" applyBorder="1" applyAlignment="1">
      <alignment horizontal="center"/>
    </xf>
    <xf numFmtId="0" fontId="27" fillId="7" borderId="5" xfId="9" applyFill="1" applyBorder="1"/>
    <xf numFmtId="0" fontId="27" fillId="8" borderId="0" xfId="9" applyFill="1" applyBorder="1" applyAlignment="1">
      <alignment horizontal="right"/>
    </xf>
    <xf numFmtId="0" fontId="27" fillId="4" borderId="5" xfId="9" applyFill="1" applyBorder="1"/>
    <xf numFmtId="0" fontId="27" fillId="7" borderId="23" xfId="9" applyFill="1" applyBorder="1"/>
    <xf numFmtId="0" fontId="27" fillId="4" borderId="75" xfId="9" applyFill="1" applyBorder="1"/>
    <xf numFmtId="0" fontId="27" fillId="8" borderId="76" xfId="9" applyFill="1" applyBorder="1" applyAlignment="1">
      <alignment horizontal="left"/>
    </xf>
    <xf numFmtId="0" fontId="27" fillId="6" borderId="2" xfId="9" applyFill="1" applyBorder="1" applyAlignment="1">
      <alignment horizontal="center" wrapText="1"/>
    </xf>
    <xf numFmtId="0" fontId="14" fillId="6" borderId="2" xfId="9" applyFont="1" applyFill="1" applyBorder="1" applyAlignment="1">
      <alignment horizontal="center" wrapText="1"/>
    </xf>
    <xf numFmtId="0" fontId="9" fillId="4" borderId="73" xfId="12" applyFont="1" applyFill="1" applyBorder="1" applyAlignment="1">
      <alignment horizontal="center" vertical="center"/>
    </xf>
    <xf numFmtId="0" fontId="11" fillId="4" borderId="2" xfId="12" applyFill="1" applyBorder="1" applyAlignment="1">
      <alignment horizontal="center" vertical="center"/>
    </xf>
    <xf numFmtId="0" fontId="9" fillId="4" borderId="2" xfId="12" applyFont="1" applyFill="1" applyBorder="1" applyAlignment="1">
      <alignment horizontal="center" vertical="center"/>
    </xf>
    <xf numFmtId="0" fontId="9" fillId="4" borderId="2" xfId="12" applyFont="1" applyFill="1" applyBorder="1" applyAlignment="1">
      <alignment horizontal="center"/>
    </xf>
    <xf numFmtId="0" fontId="0" fillId="0" borderId="0" xfId="0" applyNumberFormat="1"/>
    <xf numFmtId="2" fontId="0" fillId="0" borderId="0" xfId="0" applyNumberFormat="1" applyAlignment="1">
      <alignment horizontal="center"/>
    </xf>
    <xf numFmtId="2" fontId="16" fillId="4" borderId="0" xfId="0" applyNumberFormat="1" applyFont="1" applyFill="1" applyAlignment="1">
      <alignment horizontal="center"/>
    </xf>
    <xf numFmtId="0" fontId="8" fillId="0" borderId="0" xfId="12" applyFont="1"/>
    <xf numFmtId="0" fontId="16" fillId="0" borderId="0" xfId="0" applyNumberFormat="1" applyFont="1" applyFill="1"/>
    <xf numFmtId="1" fontId="0" fillId="0" borderId="0" xfId="0" applyNumberFormat="1" applyAlignment="1">
      <alignment horizontal="center"/>
    </xf>
    <xf numFmtId="1" fontId="0" fillId="14" borderId="0" xfId="0" applyNumberFormat="1" applyFill="1" applyAlignment="1">
      <alignment horizontal="center"/>
    </xf>
    <xf numFmtId="0" fontId="0" fillId="14" borderId="0" xfId="0" applyNumberFormat="1" applyFill="1"/>
    <xf numFmtId="1" fontId="16" fillId="14" borderId="0" xfId="0" applyNumberFormat="1" applyFont="1" applyFill="1" applyAlignment="1">
      <alignment horizontal="center"/>
    </xf>
    <xf numFmtId="0" fontId="16" fillId="14" borderId="0" xfId="0" applyNumberFormat="1" applyFont="1" applyFill="1" applyAlignment="1">
      <alignment horizontal="center"/>
    </xf>
    <xf numFmtId="1" fontId="14" fillId="14" borderId="0" xfId="0" applyNumberFormat="1" applyFont="1" applyFill="1" applyAlignment="1">
      <alignment horizontal="left"/>
    </xf>
    <xf numFmtId="0" fontId="36" fillId="4" borderId="0" xfId="0" applyNumberFormat="1" applyFont="1" applyFill="1"/>
    <xf numFmtId="0" fontId="16" fillId="0" borderId="0" xfId="0" applyNumberFormat="1" applyFont="1"/>
    <xf numFmtId="0" fontId="7" fillId="0" borderId="0" xfId="12" applyFont="1"/>
    <xf numFmtId="0" fontId="6" fillId="0" borderId="0" xfId="12" applyFont="1"/>
    <xf numFmtId="0" fontId="21" fillId="5" borderId="2" xfId="9" applyFont="1" applyFill="1" applyBorder="1" applyAlignment="1" applyProtection="1">
      <alignment horizontal="center" vertical="center" wrapText="1"/>
    </xf>
    <xf numFmtId="0" fontId="11" fillId="13" borderId="2" xfId="12" applyFill="1" applyBorder="1" applyAlignment="1" applyProtection="1">
      <alignment horizontal="center"/>
    </xf>
    <xf numFmtId="0" fontId="5" fillId="0" borderId="0" xfId="12" applyFont="1"/>
    <xf numFmtId="0" fontId="27" fillId="2" borderId="0" xfId="9" applyFill="1" applyAlignment="1" applyProtection="1">
      <alignment horizontal="center" vertical="center" wrapText="1"/>
    </xf>
    <xf numFmtId="0" fontId="27" fillId="2" borderId="0" xfId="9" applyFill="1" applyAlignment="1" applyProtection="1">
      <alignment horizontal="center" wrapText="1"/>
    </xf>
    <xf numFmtId="0" fontId="27" fillId="2" borderId="0" xfId="9" applyFill="1" applyAlignment="1" applyProtection="1">
      <alignment wrapText="1"/>
    </xf>
    <xf numFmtId="0" fontId="52" fillId="0" borderId="0" xfId="2" applyNumberFormat="1" applyFont="1"/>
    <xf numFmtId="0" fontId="19" fillId="0" borderId="0" xfId="2" applyNumberFormat="1" applyAlignment="1">
      <alignment wrapText="1"/>
    </xf>
    <xf numFmtId="0" fontId="4" fillId="0" borderId="0" xfId="12" applyFont="1"/>
    <xf numFmtId="0" fontId="47" fillId="15" borderId="0" xfId="2" applyNumberFormat="1" applyFont="1" applyFill="1" applyBorder="1" applyAlignment="1">
      <alignment horizontal="left" wrapText="1"/>
    </xf>
    <xf numFmtId="0" fontId="21" fillId="15" borderId="0" xfId="2" applyNumberFormat="1" applyFont="1" applyFill="1" applyBorder="1" applyAlignment="1">
      <alignment horizontal="left"/>
    </xf>
    <xf numFmtId="0" fontId="19" fillId="15" borderId="0" xfId="2" applyNumberFormat="1" applyFill="1" applyBorder="1"/>
    <xf numFmtId="0" fontId="47" fillId="15" borderId="0" xfId="2" applyNumberFormat="1" applyFont="1" applyFill="1" applyAlignment="1">
      <alignment wrapText="1"/>
    </xf>
    <xf numFmtId="0" fontId="47" fillId="15" borderId="0" xfId="2" applyNumberFormat="1" applyFont="1" applyFill="1" applyAlignment="1">
      <alignment vertical="top" wrapText="1"/>
    </xf>
    <xf numFmtId="49" fontId="48" fillId="15" borderId="0" xfId="2" applyNumberFormat="1" applyFont="1" applyFill="1" applyAlignment="1">
      <alignment horizontal="right" wrapText="1"/>
    </xf>
    <xf numFmtId="0" fontId="48" fillId="15" borderId="0" xfId="2" applyNumberFormat="1" applyFont="1" applyFill="1" applyAlignment="1">
      <alignment horizontal="left" vertical="center" wrapText="1"/>
    </xf>
    <xf numFmtId="0" fontId="47" fillId="15" borderId="0" xfId="2" applyNumberFormat="1" applyFont="1" applyFill="1" applyAlignment="1"/>
    <xf numFmtId="0" fontId="52" fillId="15" borderId="0" xfId="2" applyNumberFormat="1" applyFont="1" applyFill="1" applyAlignment="1">
      <alignment vertical="center"/>
    </xf>
    <xf numFmtId="0" fontId="19" fillId="15" borderId="0" xfId="2" applyNumberFormat="1" applyFill="1"/>
    <xf numFmtId="49" fontId="48" fillId="15" borderId="0" xfId="2" applyNumberFormat="1" applyFont="1" applyFill="1" applyBorder="1" applyAlignment="1">
      <alignment horizontal="right" vertical="center" wrapText="1"/>
    </xf>
    <xf numFmtId="0" fontId="49" fillId="15" borderId="0" xfId="2" applyNumberFormat="1" applyFont="1" applyFill="1" applyBorder="1" applyAlignment="1">
      <alignment horizontal="center" vertical="center" wrapText="1"/>
    </xf>
    <xf numFmtId="0" fontId="48" fillId="15" borderId="0" xfId="2" applyNumberFormat="1" applyFont="1" applyFill="1" applyBorder="1" applyAlignment="1">
      <alignment horizontal="left" vertical="center" wrapText="1"/>
    </xf>
    <xf numFmtId="0" fontId="16" fillId="15" borderId="0" xfId="2" applyNumberFormat="1" applyFont="1" applyFill="1" applyBorder="1" applyAlignment="1">
      <alignment horizontal="left"/>
    </xf>
    <xf numFmtId="169" fontId="50" fillId="15" borderId="0" xfId="2" applyNumberFormat="1" applyFont="1" applyFill="1" applyBorder="1" applyAlignment="1">
      <alignment horizontal="left" vertical="top" wrapText="1"/>
    </xf>
    <xf numFmtId="0" fontId="49" fillId="15" borderId="0" xfId="2" applyNumberFormat="1" applyFont="1" applyFill="1" applyBorder="1" applyAlignment="1">
      <alignment horizontal="left" vertical="top" wrapText="1"/>
    </xf>
    <xf numFmtId="0" fontId="42" fillId="15" borderId="0" xfId="12" applyFont="1" applyFill="1"/>
    <xf numFmtId="0" fontId="11" fillId="15" borderId="0" xfId="12" applyFill="1" applyAlignment="1">
      <alignment horizontal="center"/>
    </xf>
    <xf numFmtId="0" fontId="51" fillId="15" borderId="0" xfId="2" applyNumberFormat="1" applyFont="1" applyFill="1" applyBorder="1" applyAlignment="1">
      <alignment horizontal="left" vertical="center" wrapText="1"/>
    </xf>
    <xf numFmtId="0" fontId="14" fillId="15" borderId="0" xfId="8" applyNumberFormat="1" applyFill="1"/>
    <xf numFmtId="0" fontId="21" fillId="15" borderId="0" xfId="2" applyNumberFormat="1" applyFont="1" applyFill="1" applyAlignment="1"/>
    <xf numFmtId="0" fontId="48" fillId="15" borderId="0" xfId="2" applyNumberFormat="1" applyFont="1" applyFill="1"/>
    <xf numFmtId="0" fontId="48" fillId="15" borderId="34" xfId="2" applyNumberFormat="1" applyFont="1" applyFill="1" applyBorder="1"/>
    <xf numFmtId="0" fontId="19" fillId="15" borderId="34" xfId="2" applyNumberFormat="1" applyFill="1" applyBorder="1"/>
    <xf numFmtId="0" fontId="48" fillId="15" borderId="34" xfId="2" applyNumberFormat="1" applyFont="1" applyFill="1" applyBorder="1" applyAlignment="1">
      <alignment horizontal="left" vertical="center" wrapText="1"/>
    </xf>
    <xf numFmtId="0" fontId="51" fillId="15" borderId="34" xfId="2" applyNumberFormat="1" applyFont="1" applyFill="1" applyBorder="1" applyAlignment="1">
      <alignment horizontal="center" vertical="center"/>
    </xf>
    <xf numFmtId="0" fontId="11" fillId="15" borderId="34" xfId="12" applyFill="1" applyBorder="1"/>
    <xf numFmtId="0" fontId="14" fillId="15" borderId="34" xfId="8" applyNumberFormat="1" applyFill="1" applyBorder="1"/>
    <xf numFmtId="0" fontId="14" fillId="0" borderId="34" xfId="8" applyNumberFormat="1" applyBorder="1"/>
    <xf numFmtId="0" fontId="35" fillId="0" borderId="0" xfId="12" applyFont="1"/>
    <xf numFmtId="0" fontId="47" fillId="15" borderId="0" xfId="2" applyNumberFormat="1" applyFont="1" applyFill="1" applyBorder="1" applyAlignment="1">
      <alignment horizontal="left" wrapText="1"/>
    </xf>
    <xf numFmtId="49" fontId="48" fillId="15" borderId="0" xfId="2" applyNumberFormat="1" applyFont="1" applyFill="1" applyAlignment="1">
      <alignment horizontal="right" vertical="center" wrapText="1"/>
    </xf>
    <xf numFmtId="0" fontId="14" fillId="0" borderId="0" xfId="8" applyNumberFormat="1" applyFill="1"/>
    <xf numFmtId="0" fontId="11" fillId="0" borderId="0" xfId="12" applyFill="1"/>
    <xf numFmtId="0" fontId="56" fillId="15" borderId="34" xfId="12" applyFont="1" applyFill="1" applyBorder="1" applyAlignment="1">
      <alignment horizontal="center"/>
    </xf>
    <xf numFmtId="49" fontId="16" fillId="15" borderId="0" xfId="8" applyNumberFormat="1" applyFont="1" applyFill="1"/>
    <xf numFmtId="49" fontId="16" fillId="15" borderId="0" xfId="8" applyNumberFormat="1" applyFont="1" applyFill="1" applyAlignment="1"/>
    <xf numFmtId="49" fontId="16" fillId="15" borderId="0" xfId="8" applyNumberFormat="1" applyFont="1" applyFill="1" applyAlignment="1">
      <alignment vertical="center"/>
    </xf>
    <xf numFmtId="0" fontId="47" fillId="15" borderId="0" xfId="2" applyNumberFormat="1" applyFont="1" applyFill="1" applyAlignment="1">
      <alignment vertical="center" wrapText="1"/>
    </xf>
    <xf numFmtId="0" fontId="57" fillId="0" borderId="0" xfId="2" applyNumberFormat="1" applyFont="1" applyAlignment="1" applyProtection="1">
      <alignment horizontal="justify" vertical="center" wrapText="1"/>
      <protection locked="0"/>
    </xf>
    <xf numFmtId="0" fontId="58" fillId="0" borderId="0" xfId="2" applyNumberFormat="1" applyFont="1" applyAlignment="1" applyProtection="1">
      <alignment horizontal="left" vertical="center" wrapText="1"/>
      <protection locked="0"/>
    </xf>
    <xf numFmtId="0" fontId="57" fillId="0" borderId="0" xfId="2" applyNumberFormat="1" applyFont="1" applyAlignment="1" applyProtection="1">
      <alignment horizontal="justify" vertical="center"/>
      <protection locked="0"/>
    </xf>
    <xf numFmtId="0" fontId="57" fillId="0" borderId="0" xfId="2" applyNumberFormat="1" applyFont="1" applyAlignment="1" applyProtection="1">
      <alignment horizontal="center" vertical="center" wrapText="1"/>
      <protection locked="0"/>
    </xf>
    <xf numFmtId="0" fontId="57" fillId="0" borderId="0" xfId="3" applyNumberFormat="1" applyFont="1" applyAlignment="1" applyProtection="1">
      <alignment horizontal="center" vertical="center"/>
      <protection locked="0"/>
    </xf>
    <xf numFmtId="164" fontId="59" fillId="0" borderId="0" xfId="0" applyFont="1" applyAlignment="1">
      <alignment vertical="center" wrapText="1"/>
    </xf>
    <xf numFmtId="0" fontId="58" fillId="0" borderId="0" xfId="2" applyNumberFormat="1" applyFont="1" applyAlignment="1" applyProtection="1">
      <alignment horizontal="center"/>
      <protection locked="0"/>
    </xf>
    <xf numFmtId="164" fontId="60" fillId="0" borderId="0" xfId="2" applyFont="1" applyAlignment="1" applyProtection="1">
      <alignment horizontal="left" wrapText="1"/>
      <protection locked="0"/>
    </xf>
    <xf numFmtId="164" fontId="24" fillId="0" borderId="0" xfId="2" applyFont="1" applyAlignment="1" applyProtection="1">
      <alignment horizontal="left" wrapText="1"/>
      <protection locked="0"/>
    </xf>
    <xf numFmtId="164" fontId="61" fillId="0" borderId="5" xfId="2" applyFont="1" applyBorder="1" applyAlignment="1" applyProtection="1">
      <alignment horizontal="left" vertical="center"/>
      <protection locked="0"/>
    </xf>
    <xf numFmtId="0" fontId="27" fillId="6" borderId="6" xfId="9" applyFill="1" applyBorder="1" applyAlignment="1" applyProtection="1">
      <alignment horizontal="center" wrapText="1"/>
    </xf>
    <xf numFmtId="0" fontId="14" fillId="6" borderId="10" xfId="9" applyFont="1" applyFill="1" applyBorder="1" applyAlignment="1" applyProtection="1">
      <alignment horizontal="center" wrapText="1"/>
    </xf>
    <xf numFmtId="0" fontId="14" fillId="6" borderId="7" xfId="9" applyFont="1" applyFill="1" applyBorder="1" applyAlignment="1" applyProtection="1">
      <alignment horizontal="center" wrapText="1"/>
    </xf>
    <xf numFmtId="0" fontId="27" fillId="6" borderId="33" xfId="9" applyFill="1" applyBorder="1" applyAlignment="1" applyProtection="1">
      <alignment horizontal="center" wrapText="1"/>
    </xf>
    <xf numFmtId="0" fontId="14" fillId="6" borderId="0" xfId="9" applyFont="1" applyFill="1" applyBorder="1" applyAlignment="1" applyProtection="1">
      <alignment horizontal="center" wrapText="1"/>
    </xf>
    <xf numFmtId="0" fontId="27" fillId="6" borderId="0" xfId="9" applyFill="1" applyBorder="1" applyAlignment="1" applyProtection="1">
      <alignment horizontal="center" wrapText="1"/>
    </xf>
    <xf numFmtId="0" fontId="27" fillId="6" borderId="34" xfId="9" applyFill="1" applyBorder="1" applyAlignment="1" applyProtection="1">
      <alignment horizontal="center" wrapText="1"/>
    </xf>
    <xf numFmtId="0" fontId="14" fillId="6" borderId="34" xfId="9" applyFont="1" applyFill="1" applyBorder="1" applyAlignment="1" applyProtection="1">
      <alignment horizontal="center" wrapText="1"/>
    </xf>
    <xf numFmtId="0" fontId="27" fillId="6" borderId="35" xfId="9" applyFill="1" applyBorder="1" applyAlignment="1" applyProtection="1">
      <alignment horizontal="center" wrapText="1"/>
    </xf>
    <xf numFmtId="0" fontId="14" fillId="6" borderId="5" xfId="9" applyFont="1" applyFill="1" applyBorder="1" applyAlignment="1" applyProtection="1">
      <alignment horizontal="center" wrapText="1"/>
    </xf>
    <xf numFmtId="0" fontId="27" fillId="6" borderId="36" xfId="9" applyFill="1" applyBorder="1" applyAlignment="1" applyProtection="1">
      <alignment horizontal="center" wrapText="1"/>
    </xf>
    <xf numFmtId="164" fontId="17" fillId="0" borderId="0" xfId="2" applyNumberFormat="1" applyFont="1" applyAlignment="1" applyProtection="1">
      <alignment horizontal="left" wrapText="1"/>
      <protection locked="0"/>
    </xf>
    <xf numFmtId="0" fontId="11" fillId="16" borderId="2" xfId="12" applyFill="1" applyBorder="1" applyAlignment="1">
      <alignment horizontal="center"/>
    </xf>
    <xf numFmtId="0" fontId="53" fillId="0" borderId="11" xfId="2" applyNumberFormat="1" applyFont="1" applyBorder="1" applyAlignment="1">
      <alignment horizontal="left" wrapText="1"/>
    </xf>
    <xf numFmtId="0" fontId="53" fillId="0" borderId="77" xfId="2" applyNumberFormat="1" applyFont="1" applyBorder="1" applyAlignment="1">
      <alignment horizontal="left" wrapText="1"/>
    </xf>
    <xf numFmtId="0" fontId="48" fillId="15" borderId="0" xfId="2" applyNumberFormat="1" applyFont="1" applyFill="1" applyBorder="1" applyAlignment="1">
      <alignment vertical="center" wrapText="1"/>
    </xf>
    <xf numFmtId="0" fontId="46" fillId="15" borderId="34" xfId="2" applyNumberFormat="1" applyFont="1" applyFill="1" applyBorder="1" applyAlignment="1">
      <alignment vertical="center" wrapText="1"/>
    </xf>
    <xf numFmtId="0" fontId="47" fillId="0" borderId="0" xfId="2" applyNumberFormat="1" applyFont="1" applyFill="1" applyBorder="1" applyAlignment="1">
      <alignment horizontal="left" wrapText="1"/>
    </xf>
    <xf numFmtId="0" fontId="47" fillId="0" borderId="34" xfId="2" applyNumberFormat="1" applyFont="1" applyFill="1" applyBorder="1" applyAlignment="1">
      <alignment horizontal="left" wrapText="1"/>
    </xf>
    <xf numFmtId="0" fontId="48" fillId="15" borderId="34" xfId="2" applyNumberFormat="1" applyFont="1" applyFill="1" applyBorder="1" applyAlignment="1">
      <alignment vertical="center" wrapText="1"/>
    </xf>
    <xf numFmtId="169" fontId="48" fillId="15" borderId="0" xfId="2" applyNumberFormat="1" applyFont="1" applyFill="1" applyBorder="1" applyAlignment="1">
      <alignment horizontal="left" vertical="center" wrapText="1"/>
    </xf>
    <xf numFmtId="169" fontId="48" fillId="15" borderId="34" xfId="2" applyNumberFormat="1" applyFont="1" applyFill="1" applyBorder="1" applyAlignment="1">
      <alignment horizontal="left" vertical="center" wrapText="1"/>
    </xf>
    <xf numFmtId="0" fontId="47" fillId="15" borderId="0" xfId="2" applyNumberFormat="1" applyFont="1" applyFill="1" applyBorder="1" applyAlignment="1">
      <alignment horizontal="left" wrapText="1"/>
    </xf>
    <xf numFmtId="0" fontId="47" fillId="15" borderId="34" xfId="2" applyNumberFormat="1" applyFont="1" applyFill="1" applyBorder="1" applyAlignment="1">
      <alignment horizontal="left" wrapText="1"/>
    </xf>
    <xf numFmtId="0" fontId="14" fillId="15" borderId="0" xfId="8" applyNumberFormat="1" applyFill="1" applyAlignment="1">
      <alignment horizontal="left" wrapText="1"/>
    </xf>
    <xf numFmtId="0" fontId="14" fillId="15" borderId="34" xfId="8" applyNumberFormat="1" applyFill="1" applyBorder="1" applyAlignment="1">
      <alignment horizontal="left" wrapText="1"/>
    </xf>
    <xf numFmtId="0" fontId="14" fillId="15" borderId="0" xfId="8" applyNumberFormat="1" applyFill="1"/>
    <xf numFmtId="0" fontId="14" fillId="15" borderId="34" xfId="8" applyNumberFormat="1" applyFill="1" applyBorder="1"/>
    <xf numFmtId="0" fontId="14" fillId="15" borderId="0" xfId="8" applyNumberFormat="1" applyFill="1" applyAlignment="1">
      <alignment wrapText="1"/>
    </xf>
    <xf numFmtId="0" fontId="14" fillId="15" borderId="34" xfId="8" applyNumberFormat="1" applyFill="1" applyBorder="1" applyAlignment="1">
      <alignment wrapText="1"/>
    </xf>
    <xf numFmtId="169" fontId="51" fillId="15" borderId="0" xfId="2" applyNumberFormat="1" applyFont="1" applyFill="1" applyBorder="1" applyAlignment="1">
      <alignment horizontal="center" vertical="center" wrapText="1"/>
    </xf>
    <xf numFmtId="0" fontId="30" fillId="2" borderId="0" xfId="9" applyFont="1" applyFill="1" applyAlignment="1">
      <alignment horizontal="center" wrapText="1"/>
    </xf>
    <xf numFmtId="0" fontId="17" fillId="2" borderId="0" xfId="9" applyFont="1" applyFill="1" applyAlignment="1">
      <alignment horizontal="center" wrapText="1"/>
    </xf>
    <xf numFmtId="0" fontId="21" fillId="5" borderId="2" xfId="9" applyFont="1" applyFill="1" applyBorder="1" applyAlignment="1" applyProtection="1">
      <alignment horizontal="center" vertical="center" wrapText="1"/>
    </xf>
    <xf numFmtId="0" fontId="30" fillId="2" borderId="0" xfId="9" applyFont="1" applyFill="1" applyBorder="1" applyAlignment="1">
      <alignment horizontal="center" wrapText="1"/>
    </xf>
    <xf numFmtId="0" fontId="30" fillId="5" borderId="2" xfId="9" applyFont="1" applyFill="1" applyBorder="1" applyAlignment="1" applyProtection="1">
      <alignment horizontal="center" vertical="center" wrapText="1"/>
    </xf>
    <xf numFmtId="0" fontId="21" fillId="5" borderId="8" xfId="9" applyFont="1" applyFill="1" applyBorder="1" applyAlignment="1" applyProtection="1">
      <alignment horizontal="center" vertical="center" wrapText="1"/>
    </xf>
    <xf numFmtId="0" fontId="21" fillId="5" borderId="9" xfId="9" applyFont="1" applyFill="1" applyBorder="1" applyAlignment="1" applyProtection="1">
      <alignment horizontal="center" vertical="center" wrapText="1"/>
    </xf>
    <xf numFmtId="0" fontId="21" fillId="5" borderId="3" xfId="9" applyFont="1" applyFill="1" applyBorder="1" applyAlignment="1" applyProtection="1">
      <alignment horizontal="center" vertical="center" wrapText="1"/>
    </xf>
    <xf numFmtId="0" fontId="21" fillId="14" borderId="8" xfId="9" applyFont="1" applyFill="1" applyBorder="1" applyAlignment="1" applyProtection="1">
      <alignment horizontal="center" vertical="center" wrapText="1"/>
    </xf>
    <xf numFmtId="0" fontId="21" fillId="14" borderId="9" xfId="9" applyFont="1" applyFill="1" applyBorder="1" applyAlignment="1" applyProtection="1">
      <alignment horizontal="center" vertical="center" wrapText="1"/>
    </xf>
    <xf numFmtId="0" fontId="21" fillId="14" borderId="3" xfId="9" applyFont="1" applyFill="1" applyBorder="1" applyAlignment="1" applyProtection="1">
      <alignment horizontal="center" vertical="center" wrapText="1"/>
    </xf>
    <xf numFmtId="0" fontId="28" fillId="5" borderId="2" xfId="9" applyFont="1" applyFill="1" applyBorder="1" applyAlignment="1" applyProtection="1">
      <alignment horizontal="center" vertical="center" wrapText="1"/>
    </xf>
    <xf numFmtId="0" fontId="35" fillId="3" borderId="11" xfId="9" applyFont="1" applyFill="1" applyBorder="1" applyAlignment="1">
      <alignment horizontal="left" vertical="center" wrapText="1"/>
    </xf>
    <xf numFmtId="0" fontId="35" fillId="3" borderId="32" xfId="9" applyFont="1" applyFill="1" applyBorder="1" applyAlignment="1">
      <alignment horizontal="left" vertical="center" wrapText="1"/>
    </xf>
    <xf numFmtId="0" fontId="30" fillId="3" borderId="15" xfId="9" applyFont="1" applyFill="1" applyBorder="1" applyAlignment="1">
      <alignment horizontal="center" vertical="center" wrapText="1"/>
    </xf>
    <xf numFmtId="0" fontId="30" fillId="3" borderId="18" xfId="9" applyFont="1" applyFill="1" applyBorder="1" applyAlignment="1">
      <alignment horizontal="center" vertical="center" wrapText="1"/>
    </xf>
    <xf numFmtId="0" fontId="30" fillId="3" borderId="25" xfId="9" applyFont="1" applyFill="1" applyBorder="1" applyAlignment="1">
      <alignment horizontal="center" vertical="center" wrapText="1"/>
    </xf>
    <xf numFmtId="0" fontId="16" fillId="4" borderId="12" xfId="9" applyFont="1" applyFill="1" applyBorder="1" applyAlignment="1">
      <alignment horizontal="center" vertical="center" wrapText="1"/>
    </xf>
    <xf numFmtId="0" fontId="16" fillId="4" borderId="13" xfId="9" applyFont="1" applyFill="1" applyBorder="1" applyAlignment="1">
      <alignment horizontal="center" vertical="center" wrapText="1"/>
    </xf>
    <xf numFmtId="0" fontId="16" fillId="4" borderId="14" xfId="9" applyFont="1" applyFill="1" applyBorder="1" applyAlignment="1">
      <alignment horizontal="center" vertical="center" wrapText="1"/>
    </xf>
    <xf numFmtId="0" fontId="2" fillId="3" borderId="22" xfId="9" applyFont="1" applyFill="1" applyBorder="1" applyAlignment="1">
      <alignment horizontal="left" vertical="top" wrapText="1" indent="1"/>
    </xf>
    <xf numFmtId="0" fontId="13" fillId="3" borderId="22" xfId="9" applyFont="1" applyFill="1" applyBorder="1" applyAlignment="1">
      <alignment horizontal="left" vertical="top" wrapText="1" indent="1"/>
    </xf>
    <xf numFmtId="0" fontId="34" fillId="0" borderId="28" xfId="9" applyFont="1" applyFill="1" applyBorder="1" applyAlignment="1">
      <alignment horizontal="center" vertical="center" wrapText="1"/>
    </xf>
    <xf numFmtId="0" fontId="34" fillId="0" borderId="16" xfId="9" applyFont="1" applyFill="1" applyBorder="1" applyAlignment="1">
      <alignment horizontal="center" vertical="center" wrapText="1"/>
    </xf>
    <xf numFmtId="0" fontId="34" fillId="0" borderId="17" xfId="9" applyFont="1" applyFill="1" applyBorder="1" applyAlignment="1">
      <alignment horizontal="center" vertical="center" wrapText="1"/>
    </xf>
    <xf numFmtId="0" fontId="13" fillId="3" borderId="22" xfId="9" applyFont="1" applyFill="1" applyBorder="1" applyAlignment="1">
      <alignment horizontal="left" vertical="center" wrapText="1" indent="1"/>
    </xf>
    <xf numFmtId="0" fontId="29" fillId="0" borderId="12" xfId="9" applyFont="1" applyFill="1" applyBorder="1" applyAlignment="1">
      <alignment horizontal="center" vertical="center" wrapText="1"/>
    </xf>
    <xf numFmtId="0" fontId="29" fillId="0" borderId="13" xfId="9" applyFont="1" applyFill="1" applyBorder="1" applyAlignment="1">
      <alignment horizontal="center" vertical="center" wrapText="1"/>
    </xf>
    <xf numFmtId="0" fontId="29" fillId="0" borderId="14" xfId="9" applyFont="1" applyFill="1" applyBorder="1" applyAlignment="1">
      <alignment horizontal="center" vertical="center" wrapText="1"/>
    </xf>
    <xf numFmtId="0" fontId="28" fillId="3" borderId="16" xfId="9" applyFont="1" applyFill="1" applyBorder="1" applyAlignment="1">
      <alignment horizontal="center" vertical="center" wrapText="1"/>
    </xf>
    <xf numFmtId="0" fontId="16" fillId="4" borderId="19" xfId="9" applyFont="1" applyFill="1" applyBorder="1" applyAlignment="1" applyProtection="1">
      <alignment horizontal="center" vertical="center" wrapText="1"/>
      <protection locked="0"/>
    </xf>
    <xf numFmtId="0" fontId="16" fillId="4" borderId="20" xfId="9" applyFont="1" applyFill="1" applyBorder="1" applyAlignment="1" applyProtection="1">
      <alignment horizontal="center" vertical="center" wrapText="1"/>
      <protection locked="0"/>
    </xf>
    <xf numFmtId="0" fontId="16" fillId="4" borderId="21" xfId="9" applyFont="1" applyFill="1" applyBorder="1" applyAlignment="1" applyProtection="1">
      <alignment horizontal="center" vertical="center" wrapText="1"/>
      <protection locked="0"/>
    </xf>
    <xf numFmtId="0" fontId="3" fillId="3" borderId="22" xfId="9" applyFont="1" applyFill="1" applyBorder="1" applyAlignment="1">
      <alignment horizontal="left" vertical="center" wrapText="1" indent="1"/>
    </xf>
    <xf numFmtId="0" fontId="16" fillId="4" borderId="23" xfId="9" applyFont="1" applyFill="1" applyBorder="1" applyAlignment="1">
      <alignment horizontal="center" vertical="center" wrapText="1"/>
    </xf>
    <xf numFmtId="0" fontId="16" fillId="4" borderId="2" xfId="9" applyFont="1" applyFill="1" applyBorder="1" applyAlignment="1">
      <alignment horizontal="center" vertical="center" wrapText="1"/>
    </xf>
    <xf numFmtId="0" fontId="16" fillId="4" borderId="24" xfId="9" applyFont="1" applyFill="1" applyBorder="1" applyAlignment="1">
      <alignment horizontal="center" vertical="center" wrapText="1"/>
    </xf>
    <xf numFmtId="0" fontId="33" fillId="5" borderId="26" xfId="9" applyFont="1" applyFill="1" applyBorder="1" applyAlignment="1" applyProtection="1">
      <alignment horizontal="center" vertical="center" wrapText="1"/>
    </xf>
    <xf numFmtId="0" fontId="33" fillId="5" borderId="1" xfId="9" applyFont="1" applyFill="1" applyBorder="1" applyAlignment="1" applyProtection="1">
      <alignment horizontal="center" vertical="center" wrapText="1"/>
    </xf>
    <xf numFmtId="0" fontId="33" fillId="5" borderId="27" xfId="9" applyFont="1" applyFill="1" applyBorder="1" applyAlignment="1" applyProtection="1">
      <alignment horizontal="center" vertical="center" wrapText="1"/>
    </xf>
    <xf numFmtId="0" fontId="25" fillId="4" borderId="29" xfId="9" applyFont="1" applyFill="1" applyBorder="1" applyAlignment="1">
      <alignment horizontal="center"/>
    </xf>
    <xf numFmtId="0" fontId="25" fillId="4" borderId="30" xfId="9" applyFont="1" applyFill="1" applyBorder="1" applyAlignment="1">
      <alignment horizontal="center"/>
    </xf>
    <xf numFmtId="0" fontId="39" fillId="4" borderId="39" xfId="9" applyFont="1" applyFill="1" applyBorder="1" applyAlignment="1">
      <alignment horizontal="center"/>
    </xf>
    <xf numFmtId="0" fontId="39" fillId="4" borderId="40" xfId="9" applyFont="1" applyFill="1" applyBorder="1" applyAlignment="1">
      <alignment horizontal="center"/>
    </xf>
    <xf numFmtId="0" fontId="27" fillId="0" borderId="41" xfId="9" applyBorder="1" applyAlignment="1">
      <alignment horizontal="center" vertical="center"/>
    </xf>
    <xf numFmtId="0" fontId="27" fillId="0" borderId="46" xfId="9" applyBorder="1" applyAlignment="1">
      <alignment horizontal="center" vertical="center"/>
    </xf>
    <xf numFmtId="0" fontId="26" fillId="4" borderId="15" xfId="9" applyFont="1" applyFill="1" applyBorder="1" applyAlignment="1">
      <alignment horizontal="center" vertical="center" wrapText="1"/>
    </xf>
    <xf numFmtId="0" fontId="26" fillId="4" borderId="18" xfId="9" applyFont="1" applyFill="1" applyBorder="1" applyAlignment="1">
      <alignment horizontal="center" vertical="center" wrapText="1"/>
    </xf>
    <xf numFmtId="0" fontId="26" fillId="4" borderId="25" xfId="9" applyFont="1" applyFill="1" applyBorder="1" applyAlignment="1">
      <alignment horizontal="center" vertical="center" wrapText="1"/>
    </xf>
    <xf numFmtId="0" fontId="27" fillId="4" borderId="29" xfId="9" applyFill="1" applyBorder="1" applyAlignment="1">
      <alignment horizontal="center"/>
    </xf>
    <xf numFmtId="0" fontId="27" fillId="4" borderId="30" xfId="9" applyFill="1" applyBorder="1" applyAlignment="1">
      <alignment horizontal="center"/>
    </xf>
    <xf numFmtId="169" fontId="48" fillId="15" borderId="0" xfId="2" quotePrefix="1" applyNumberFormat="1" applyFont="1" applyFill="1" applyBorder="1" applyAlignment="1">
      <alignment horizontal="left" vertical="center" wrapText="1"/>
    </xf>
    <xf numFmtId="169" fontId="48" fillId="15" borderId="34" xfId="2" quotePrefix="1" applyNumberFormat="1" applyFont="1" applyFill="1" applyBorder="1" applyAlignment="1">
      <alignment horizontal="left" vertical="center" wrapText="1"/>
    </xf>
    <xf numFmtId="169" fontId="49" fillId="15" borderId="0" xfId="2" applyNumberFormat="1" applyFont="1" applyFill="1" applyBorder="1" applyAlignment="1">
      <alignment horizontal="left" wrapText="1"/>
    </xf>
    <xf numFmtId="169" fontId="50" fillId="15" borderId="0" xfId="2" applyNumberFormat="1" applyFont="1" applyFill="1" applyBorder="1" applyAlignment="1">
      <alignment horizontal="left" wrapText="1"/>
    </xf>
    <xf numFmtId="169" fontId="50" fillId="15" borderId="34" xfId="2" applyNumberFormat="1" applyFont="1" applyFill="1" applyBorder="1" applyAlignment="1">
      <alignment horizontal="left" wrapText="1"/>
    </xf>
    <xf numFmtId="0" fontId="53" fillId="0" borderId="0" xfId="2" applyNumberFormat="1" applyFont="1" applyBorder="1" applyAlignment="1">
      <alignment horizontal="center" wrapText="1"/>
    </xf>
    <xf numFmtId="0" fontId="53" fillId="0" borderId="34" xfId="2" applyNumberFormat="1" applyFont="1" applyBorder="1" applyAlignment="1">
      <alignment horizontal="center" wrapText="1"/>
    </xf>
    <xf numFmtId="0" fontId="47" fillId="0" borderId="0" xfId="2" applyNumberFormat="1" applyFont="1" applyBorder="1" applyAlignment="1">
      <alignment horizontal="left" wrapText="1"/>
    </xf>
    <xf numFmtId="0" fontId="47" fillId="0" borderId="34" xfId="2" applyNumberFormat="1" applyFont="1" applyBorder="1" applyAlignment="1">
      <alignment horizontal="left" wrapText="1"/>
    </xf>
    <xf numFmtId="0" fontId="48" fillId="15" borderId="0" xfId="2" applyNumberFormat="1" applyFont="1" applyFill="1" applyBorder="1" applyAlignment="1">
      <alignment wrapText="1"/>
    </xf>
    <xf numFmtId="0" fontId="48" fillId="15" borderId="34" xfId="2" applyNumberFormat="1" applyFont="1" applyFill="1" applyBorder="1" applyAlignment="1">
      <alignment wrapText="1"/>
    </xf>
    <xf numFmtId="0" fontId="48" fillId="15" borderId="0" xfId="2" applyNumberFormat="1" applyFont="1" applyFill="1" applyBorder="1" applyAlignment="1">
      <alignment horizontal="left" vertical="center"/>
    </xf>
    <xf numFmtId="0" fontId="48" fillId="15" borderId="34" xfId="2" applyNumberFormat="1" applyFont="1" applyFill="1" applyBorder="1" applyAlignment="1">
      <alignment horizontal="left" vertical="center"/>
    </xf>
    <xf numFmtId="164" fontId="48" fillId="15" borderId="0" xfId="0" applyFont="1" applyFill="1" applyBorder="1" applyAlignment="1">
      <alignment vertical="center" wrapText="1"/>
    </xf>
    <xf numFmtId="164" fontId="48" fillId="15" borderId="34" xfId="0" applyFont="1" applyFill="1" applyBorder="1" applyAlignment="1">
      <alignment vertical="center" wrapText="1"/>
    </xf>
    <xf numFmtId="164" fontId="48" fillId="15" borderId="0" xfId="0" applyFont="1" applyFill="1" applyAlignment="1">
      <alignment vertical="center"/>
    </xf>
    <xf numFmtId="164" fontId="45" fillId="15" borderId="0" xfId="0" applyFont="1" applyFill="1" applyBorder="1" applyAlignment="1">
      <alignment vertical="center" wrapText="1"/>
    </xf>
    <xf numFmtId="164" fontId="45" fillId="15" borderId="34" xfId="0" applyFont="1" applyFill="1" applyBorder="1" applyAlignment="1">
      <alignment vertical="center" wrapText="1"/>
    </xf>
    <xf numFmtId="0" fontId="21" fillId="5" borderId="2" xfId="9" applyFont="1" applyFill="1" applyBorder="1" applyAlignment="1">
      <alignment horizontal="center" vertical="center" wrapText="1"/>
    </xf>
    <xf numFmtId="0" fontId="21" fillId="5" borderId="8" xfId="9" applyFont="1" applyFill="1" applyBorder="1" applyAlignment="1">
      <alignment horizontal="center" vertical="center" wrapText="1"/>
    </xf>
    <xf numFmtId="0" fontId="21" fillId="5" borderId="9" xfId="9" applyFont="1" applyFill="1" applyBorder="1" applyAlignment="1">
      <alignment horizontal="center" vertical="center" wrapText="1"/>
    </xf>
    <xf numFmtId="0" fontId="21" fillId="5" borderId="3" xfId="9" applyFont="1" applyFill="1" applyBorder="1" applyAlignment="1">
      <alignment horizontal="center" vertical="center" wrapText="1"/>
    </xf>
    <xf numFmtId="0" fontId="30" fillId="5" borderId="2" xfId="9" applyFont="1" applyFill="1" applyBorder="1" applyAlignment="1">
      <alignment horizontal="center" vertical="center" wrapText="1"/>
    </xf>
  </cellXfs>
  <cellStyles count="13">
    <cellStyle name="Check Cell" xfId="10" builtinId="23"/>
    <cellStyle name="Dezimal [0]_IWD_2004_wk04 Regression Test Allocation_ results_consolidated_20040130" xfId="4"/>
    <cellStyle name="Dezimal_IWD_2004_wk04 Regression Test Allocation_ results_consolidated_20040130" xfId="5"/>
    <cellStyle name="Hyperlink" xfId="1" builtinId="8"/>
    <cellStyle name="Normal" xfId="0" builtinId="0"/>
    <cellStyle name="Normal 2" xfId="8"/>
    <cellStyle name="Normal 3" xfId="9"/>
    <cellStyle name="Normal 4" xfId="11"/>
    <cellStyle name="Normal 5" xfId="12"/>
    <cellStyle name="Normal_80-V0289-1_B" xfId="2"/>
    <cellStyle name="Normal_80-VD450-1_A" xfId="3"/>
    <cellStyle name="Währung [0]_CR tracking" xfId="6"/>
    <cellStyle name="Währung_CR tracking" xfId="7"/>
  </cellStyles>
  <dxfs count="2">
    <dxf>
      <font>
        <b/>
        <i val="0"/>
      </font>
      <border>
        <bottom style="medium">
          <color auto="1"/>
        </bottom>
      </border>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1" defaultTableStyle="QCTable" defaultPivotStyle="PivotStyleLight16">
    <tableStyle name="QCTable" pivot="0" count="2">
      <tableStyleElement type="wholeTable" dxfId="1"/>
      <tableStyleElement type="headerRow" dxfId="0"/>
    </tableStyle>
  </tableStyles>
  <colors>
    <mruColors>
      <color rgb="FFDA9694"/>
      <color rgb="FF911C1F"/>
      <color rgb="FFFFFFFF"/>
      <color rgb="FF636568"/>
      <color rgb="FF31333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1963420</xdr:colOff>
      <xdr:row>0</xdr:row>
      <xdr:rowOff>502920</xdr:rowOff>
    </xdr:to>
    <xdr:pic>
      <xdr:nvPicPr>
        <xdr:cNvPr id="4" name="Picture 3" descr="C:\Users\rmireles\Desktop\qlogo.GIF.gif"/>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944370" cy="474345"/>
        </a:xfrm>
        <a:prstGeom prst="rect">
          <a:avLst/>
        </a:prstGeom>
        <a:noFill/>
        <a:ln>
          <a:noFill/>
        </a:ln>
      </xdr:spPr>
    </xdr:pic>
    <xdr:clientData/>
  </xdr:twoCellAnchor>
  <xdr:twoCellAnchor>
    <xdr:from>
      <xdr:col>0</xdr:col>
      <xdr:colOff>47625</xdr:colOff>
      <xdr:row>0</xdr:row>
      <xdr:rowOff>314325</xdr:rowOff>
    </xdr:from>
    <xdr:to>
      <xdr:col>0</xdr:col>
      <xdr:colOff>6362700</xdr:colOff>
      <xdr:row>1</xdr:row>
      <xdr:rowOff>19051</xdr:rowOff>
    </xdr:to>
    <xdr:grpSp>
      <xdr:nvGrpSpPr>
        <xdr:cNvPr id="5" name="Group 4"/>
        <xdr:cNvGrpSpPr/>
      </xdr:nvGrpSpPr>
      <xdr:grpSpPr>
        <a:xfrm>
          <a:off x="47625" y="314325"/>
          <a:ext cx="6315075" cy="1666876"/>
          <a:chOff x="4131" y="466848"/>
          <a:chExt cx="6315407" cy="1524352"/>
        </a:xfrm>
      </xdr:grpSpPr>
      <xdr:sp macro="" textlink="">
        <xdr:nvSpPr>
          <xdr:cNvPr id="6" name="Arc 5"/>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nvGrpSpPr>
          <xdr:cNvPr id="7" name="Group 6"/>
          <xdr:cNvGrpSpPr/>
        </xdr:nvGrpSpPr>
        <xdr:grpSpPr>
          <a:xfrm>
            <a:off x="4131" y="564184"/>
            <a:ext cx="6210300" cy="1427016"/>
            <a:chOff x="4131" y="564184"/>
            <a:chExt cx="6210300" cy="1427016"/>
          </a:xfrm>
        </xdr:grpSpPr>
        <xdr:cxnSp macro="">
          <xdr:nvCxnSpPr>
            <xdr:cNvPr id="8" name="Straight Connector 7"/>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9" name="Group 8"/>
            <xdr:cNvGrpSpPr/>
          </xdr:nvGrpSpPr>
          <xdr:grpSpPr>
            <a:xfrm>
              <a:off x="5452431" y="564184"/>
              <a:ext cx="762000" cy="762000"/>
              <a:chOff x="5452431" y="564184"/>
              <a:chExt cx="762000" cy="762000"/>
            </a:xfrm>
          </xdr:grpSpPr>
          <xdr:sp macro="" textlink="">
            <xdr:nvSpPr>
              <xdr:cNvPr id="32" name="Oval 31"/>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3" name="Rounded Rectangle 32"/>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4" name="Rounded Rectangle 33"/>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5" name="Rounded Rectangle 34"/>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6" name="Rounded Rectangle 35"/>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7" name="Rounded Rectangle 36"/>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8" name="Rounded Rectangle 37"/>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9" name="Rounded Rectangle 38"/>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40" name="Rounded Rectangle 39"/>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10" name="Group 9"/>
            <xdr:cNvGrpSpPr/>
          </xdr:nvGrpSpPr>
          <xdr:grpSpPr>
            <a:xfrm>
              <a:off x="4788974" y="1166666"/>
              <a:ext cx="692536" cy="686632"/>
              <a:chOff x="4788974" y="1166666"/>
              <a:chExt cx="692536" cy="686632"/>
            </a:xfrm>
          </xdr:grpSpPr>
          <xdr:sp macro="" textlink="">
            <xdr:nvSpPr>
              <xdr:cNvPr id="22" name="Oval 21"/>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Arc 22"/>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ounded Rectangle 23"/>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ounded Rectangle 24"/>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6" name="Rounded Rectangle 25"/>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 name="Rounded Rectangle 26"/>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 name="Rounded Rectangle 27"/>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9" name="Rounded Rectangle 28"/>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0" name="Rounded Rectangle 29"/>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1" name="Rounded Rectangle 30"/>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11" name="Group 10"/>
            <xdr:cNvGrpSpPr/>
          </xdr:nvGrpSpPr>
          <xdr:grpSpPr>
            <a:xfrm>
              <a:off x="5603460" y="1501621"/>
              <a:ext cx="485537" cy="489579"/>
              <a:chOff x="5603460" y="1501621"/>
              <a:chExt cx="485537" cy="489579"/>
            </a:xfrm>
          </xdr:grpSpPr>
          <xdr:sp macro="" textlink="">
            <xdr:nvSpPr>
              <xdr:cNvPr id="12" name="Oval 11"/>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 name="Arc 12"/>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ounded Rectangle 13"/>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ounded Rectangle 14"/>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ounded Rectangle 15"/>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ounded Rectangle 16"/>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 name="Rounded Rectangle 17"/>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 name="Rounded Rectangle 18"/>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0" name="Rounded Rectangle 19"/>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Rounded Rectangle 20"/>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115955</xdr:colOff>
      <xdr:row>81</xdr:row>
      <xdr:rowOff>132521</xdr:rowOff>
    </xdr:from>
    <xdr:to>
      <xdr:col>4</xdr:col>
      <xdr:colOff>3018934</xdr:colOff>
      <xdr:row>104</xdr:row>
      <xdr:rowOff>150700</xdr:rowOff>
    </xdr:to>
    <xdr:pic>
      <xdr:nvPicPr>
        <xdr:cNvPr id="21" name="Picture 20"/>
        <xdr:cNvPicPr>
          <a:picLocks noChangeAspect="1"/>
        </xdr:cNvPicPr>
      </xdr:nvPicPr>
      <xdr:blipFill rotWithShape="1">
        <a:blip xmlns:r="http://schemas.openxmlformats.org/officeDocument/2006/relationships" r:embed="rId1"/>
        <a:srcRect l="4023"/>
        <a:stretch/>
      </xdr:blipFill>
      <xdr:spPr>
        <a:xfrm>
          <a:off x="115955" y="17285804"/>
          <a:ext cx="7508109" cy="3828179"/>
        </a:xfrm>
        <a:prstGeom prst="rect">
          <a:avLst/>
        </a:prstGeom>
      </xdr:spPr>
    </xdr:pic>
    <xdr:clientData/>
  </xdr:twoCellAnchor>
  <xdr:twoCellAnchor editAs="oneCell">
    <xdr:from>
      <xdr:col>0</xdr:col>
      <xdr:colOff>421532</xdr:colOff>
      <xdr:row>12</xdr:row>
      <xdr:rowOff>16566</xdr:rowOff>
    </xdr:from>
    <xdr:to>
      <xdr:col>4</xdr:col>
      <xdr:colOff>3137310</xdr:colOff>
      <xdr:row>40</xdr:row>
      <xdr:rowOff>93513</xdr:rowOff>
    </xdr:to>
    <xdr:pic>
      <xdr:nvPicPr>
        <xdr:cNvPr id="22" name="Picture 21"/>
        <xdr:cNvPicPr>
          <a:picLocks noChangeAspect="1"/>
        </xdr:cNvPicPr>
      </xdr:nvPicPr>
      <xdr:blipFill>
        <a:blip xmlns:r="http://schemas.openxmlformats.org/officeDocument/2006/relationships" r:embed="rId2"/>
        <a:stretch>
          <a:fillRect/>
        </a:stretch>
      </xdr:blipFill>
      <xdr:spPr>
        <a:xfrm>
          <a:off x="421532" y="5433392"/>
          <a:ext cx="7320908" cy="4905708"/>
        </a:xfrm>
        <a:prstGeom prst="rect">
          <a:avLst/>
        </a:prstGeom>
      </xdr:spPr>
    </xdr:pic>
    <xdr:clientData/>
  </xdr:twoCellAnchor>
  <xdr:twoCellAnchor editAs="oneCell">
    <xdr:from>
      <xdr:col>1</xdr:col>
      <xdr:colOff>41413</xdr:colOff>
      <xdr:row>39</xdr:row>
      <xdr:rowOff>24848</xdr:rowOff>
    </xdr:from>
    <xdr:to>
      <xdr:col>5</xdr:col>
      <xdr:colOff>216687</xdr:colOff>
      <xdr:row>56</xdr:row>
      <xdr:rowOff>110248</xdr:rowOff>
    </xdr:to>
    <xdr:pic>
      <xdr:nvPicPr>
        <xdr:cNvPr id="23" name="Picture 22"/>
        <xdr:cNvPicPr>
          <a:picLocks noChangeAspect="1"/>
        </xdr:cNvPicPr>
      </xdr:nvPicPr>
      <xdr:blipFill>
        <a:blip xmlns:r="http://schemas.openxmlformats.org/officeDocument/2006/relationships" r:embed="rId3"/>
        <a:stretch>
          <a:fillRect/>
        </a:stretch>
      </xdr:blipFill>
      <xdr:spPr>
        <a:xfrm>
          <a:off x="488674" y="10079935"/>
          <a:ext cx="7803556" cy="2926334"/>
        </a:xfrm>
        <a:prstGeom prst="rect">
          <a:avLst/>
        </a:prstGeom>
      </xdr:spPr>
    </xdr:pic>
    <xdr:clientData/>
  </xdr:twoCellAnchor>
  <xdr:twoCellAnchor editAs="oneCell">
    <xdr:from>
      <xdr:col>1</xdr:col>
      <xdr:colOff>41414</xdr:colOff>
      <xdr:row>60</xdr:row>
      <xdr:rowOff>49696</xdr:rowOff>
    </xdr:from>
    <xdr:to>
      <xdr:col>5</xdr:col>
      <xdr:colOff>505240</xdr:colOff>
      <xdr:row>72</xdr:row>
      <xdr:rowOff>89396</xdr:rowOff>
    </xdr:to>
    <xdr:pic>
      <xdr:nvPicPr>
        <xdr:cNvPr id="24" name="Picture 23"/>
        <xdr:cNvPicPr>
          <a:picLocks noChangeAspect="1"/>
        </xdr:cNvPicPr>
      </xdr:nvPicPr>
      <xdr:blipFill>
        <a:blip xmlns:r="http://schemas.openxmlformats.org/officeDocument/2006/relationships" r:embed="rId4"/>
        <a:stretch>
          <a:fillRect/>
        </a:stretch>
      </xdr:blipFill>
      <xdr:spPr>
        <a:xfrm>
          <a:off x="488675" y="13608326"/>
          <a:ext cx="8092108" cy="2027526"/>
        </a:xfrm>
        <a:prstGeom prst="rect">
          <a:avLst/>
        </a:prstGeom>
      </xdr:spPr>
    </xdr:pic>
    <xdr:clientData/>
  </xdr:twoCellAnchor>
  <xdr:twoCellAnchor editAs="oneCell">
    <xdr:from>
      <xdr:col>0</xdr:col>
      <xdr:colOff>414130</xdr:colOff>
      <xdr:row>75</xdr:row>
      <xdr:rowOff>57978</xdr:rowOff>
    </xdr:from>
    <xdr:to>
      <xdr:col>4</xdr:col>
      <xdr:colOff>3411371</xdr:colOff>
      <xdr:row>79</xdr:row>
      <xdr:rowOff>139146</xdr:rowOff>
    </xdr:to>
    <xdr:pic>
      <xdr:nvPicPr>
        <xdr:cNvPr id="27" name="Picture 26"/>
        <xdr:cNvPicPr>
          <a:picLocks noChangeAspect="1"/>
        </xdr:cNvPicPr>
      </xdr:nvPicPr>
      <xdr:blipFill>
        <a:blip xmlns:r="http://schemas.openxmlformats.org/officeDocument/2006/relationships" r:embed="rId5"/>
        <a:stretch>
          <a:fillRect/>
        </a:stretch>
      </xdr:blipFill>
      <xdr:spPr>
        <a:xfrm>
          <a:off x="414130" y="16142804"/>
          <a:ext cx="7602371" cy="74377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4</xdr:col>
      <xdr:colOff>1455106</xdr:colOff>
      <xdr:row>45</xdr:row>
      <xdr:rowOff>76970</xdr:rowOff>
    </xdr:to>
    <xdr:pic>
      <xdr:nvPicPr>
        <xdr:cNvPr id="3" name="Picture 2"/>
        <xdr:cNvPicPr>
          <a:picLocks noChangeAspect="1"/>
        </xdr:cNvPicPr>
      </xdr:nvPicPr>
      <xdr:blipFill>
        <a:blip xmlns:r="http://schemas.openxmlformats.org/officeDocument/2006/relationships" r:embed="rId1"/>
        <a:stretch>
          <a:fillRect/>
        </a:stretch>
      </xdr:blipFill>
      <xdr:spPr>
        <a:xfrm>
          <a:off x="895350" y="7829550"/>
          <a:ext cx="5169856" cy="4487045"/>
        </a:xfrm>
        <a:prstGeom prst="rect">
          <a:avLst/>
        </a:prstGeom>
        <a:solidFill>
          <a:sysClr val="window" lastClr="FFFFFF"/>
        </a:solidFill>
        <a:ln>
          <a:solidFill>
            <a:sysClr val="windowText" lastClr="000000"/>
          </a:solidFill>
        </a:ln>
      </xdr:spPr>
    </xdr:pic>
    <xdr:clientData/>
  </xdr:twoCellAnchor>
  <xdr:twoCellAnchor editAs="oneCell">
    <xdr:from>
      <xdr:col>2</xdr:col>
      <xdr:colOff>0</xdr:colOff>
      <xdr:row>46</xdr:row>
      <xdr:rowOff>0</xdr:rowOff>
    </xdr:from>
    <xdr:to>
      <xdr:col>4</xdr:col>
      <xdr:colOff>1744980</xdr:colOff>
      <xdr:row>64</xdr:row>
      <xdr:rowOff>7620</xdr:rowOff>
    </xdr:to>
    <xdr:pic>
      <xdr:nvPicPr>
        <xdr:cNvPr id="4" name="Picture 3"/>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5350" y="12401550"/>
          <a:ext cx="5459730" cy="2922270"/>
        </a:xfrm>
        <a:prstGeom prst="rect">
          <a:avLst/>
        </a:prstGeom>
        <a:solidFill>
          <a:sysClr val="window" lastClr="FFFFFF"/>
        </a:solidFill>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ying/Desktop/Qualcomm%20AF%20Simulation_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stomer Worksheet"/>
    </sheetNames>
    <sheetDataSet>
      <sheetData sheetId="0">
        <row r="10">
          <cell r="D10">
            <v>0.54800000000000004</v>
          </cell>
        </row>
        <row r="16">
          <cell r="E16">
            <v>447</v>
          </cell>
        </row>
        <row r="17">
          <cell r="E17">
            <v>223</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cdmatech.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36"/>
  <sheetViews>
    <sheetView tabSelected="1" zoomScaleNormal="100" zoomScaleSheetLayoutView="100" workbookViewId="0">
      <selection activeCell="E5" sqref="E5"/>
    </sheetView>
  </sheetViews>
  <sheetFormatPr defaultColWidth="9.140625" defaultRowHeight="12.75" x14ac:dyDescent="0.2"/>
  <cols>
    <col min="1" max="1" width="95.85546875" style="2" customWidth="1"/>
    <col min="2" max="2" width="10" style="3" customWidth="1"/>
    <col min="3" max="7" width="9.140625" style="3" customWidth="1"/>
    <col min="8" max="16384" width="9.140625" style="3"/>
  </cols>
  <sheetData>
    <row r="1" spans="1:26" ht="154.5" customHeight="1" x14ac:dyDescent="0.25">
      <c r="A1" s="226" t="s">
        <v>283</v>
      </c>
      <c r="B1" s="17"/>
      <c r="C1" s="11"/>
      <c r="D1" s="12"/>
      <c r="E1" s="12"/>
      <c r="F1" s="12"/>
      <c r="G1" s="12"/>
    </row>
    <row r="2" spans="1:26" ht="84.75" customHeight="1" x14ac:dyDescent="0.4">
      <c r="A2" s="229" t="s">
        <v>100</v>
      </c>
      <c r="B2" s="4"/>
      <c r="C2" s="5"/>
      <c r="Z2" s="6"/>
    </row>
    <row r="3" spans="1:26" s="7" customFormat="1" ht="29.25" customHeight="1" x14ac:dyDescent="0.4">
      <c r="A3" s="228"/>
      <c r="G3" s="19"/>
    </row>
    <row r="4" spans="1:26" s="7" customFormat="1" ht="29.25" customHeight="1" x14ac:dyDescent="0.3">
      <c r="A4" s="13"/>
      <c r="G4" s="19"/>
    </row>
    <row r="5" spans="1:26" s="7" customFormat="1" ht="27" customHeight="1" x14ac:dyDescent="0.25">
      <c r="A5" s="242">
        <v>42613</v>
      </c>
      <c r="B5" s="1"/>
    </row>
    <row r="6" spans="1:26" s="7" customFormat="1" ht="27" customHeight="1" x14ac:dyDescent="0.25">
      <c r="A6" s="230"/>
    </row>
    <row r="7" spans="1:26" s="7" customFormat="1" ht="16.899999999999999" customHeight="1" x14ac:dyDescent="0.25">
      <c r="A7" s="14"/>
      <c r="B7" s="8"/>
      <c r="C7" s="8"/>
      <c r="D7" s="8"/>
    </row>
    <row r="8" spans="1:26" s="7" customFormat="1" ht="16.899999999999999" customHeight="1" x14ac:dyDescent="0.25">
      <c r="A8" s="18"/>
      <c r="B8" s="8"/>
      <c r="C8" s="8"/>
      <c r="D8" s="8"/>
    </row>
    <row r="9" spans="1:26" s="7" customFormat="1" ht="16.899999999999999" customHeight="1" x14ac:dyDescent="0.25">
      <c r="A9" s="14"/>
      <c r="B9" s="8"/>
      <c r="C9" s="8"/>
      <c r="D9" s="8"/>
    </row>
    <row r="10" spans="1:26" s="9" customFormat="1" ht="18" customHeight="1" x14ac:dyDescent="0.25">
      <c r="A10" s="15" t="s">
        <v>0</v>
      </c>
    </row>
    <row r="11" spans="1:26" s="7" customFormat="1" ht="17.25" customHeight="1" x14ac:dyDescent="0.25">
      <c r="A11" s="16" t="s">
        <v>1</v>
      </c>
    </row>
    <row r="12" spans="1:26" s="7" customFormat="1" ht="17.25" customHeight="1" x14ac:dyDescent="0.25">
      <c r="A12" s="16"/>
    </row>
    <row r="13" spans="1:26" s="7" customFormat="1" ht="28.5" customHeight="1" x14ac:dyDescent="0.25">
      <c r="A13" s="227" t="s">
        <v>2</v>
      </c>
    </row>
    <row r="14" spans="1:26" s="7" customFormat="1" ht="39.75" customHeight="1" x14ac:dyDescent="0.25">
      <c r="A14" s="222" t="s">
        <v>279</v>
      </c>
    </row>
    <row r="15" spans="1:26" s="7" customFormat="1" ht="36" customHeight="1" x14ac:dyDescent="0.25">
      <c r="A15" s="221" t="s">
        <v>278</v>
      </c>
    </row>
    <row r="16" spans="1:26" s="7" customFormat="1" ht="30.75" customHeight="1" x14ac:dyDescent="0.25">
      <c r="A16" s="221" t="s">
        <v>4</v>
      </c>
    </row>
    <row r="17" spans="1:2" s="7" customFormat="1" ht="39" customHeight="1" x14ac:dyDescent="0.4">
      <c r="A17" s="221" t="s">
        <v>282</v>
      </c>
      <c r="B17" s="10"/>
    </row>
    <row r="18" spans="1:2" s="7" customFormat="1" ht="28.5" customHeight="1" x14ac:dyDescent="0.25">
      <c r="A18" s="223" t="s">
        <v>3</v>
      </c>
    </row>
    <row r="19" spans="1:2" ht="48.75" customHeight="1" x14ac:dyDescent="0.2">
      <c r="A19" s="224" t="s">
        <v>280</v>
      </c>
    </row>
    <row r="20" spans="1:2" x14ac:dyDescent="0.2">
      <c r="A20" s="225" t="s">
        <v>281</v>
      </c>
    </row>
    <row r="22" spans="1:2" x14ac:dyDescent="0.2">
      <c r="A22" s="135" t="s">
        <v>188</v>
      </c>
    </row>
    <row r="23" spans="1:2" x14ac:dyDescent="0.2">
      <c r="A23" s="136" t="s">
        <v>274</v>
      </c>
    </row>
    <row r="24" spans="1:2" x14ac:dyDescent="0.2">
      <c r="A24" s="136" t="s">
        <v>189</v>
      </c>
    </row>
    <row r="25" spans="1:2" ht="13.5" customHeight="1" x14ac:dyDescent="0.2">
      <c r="A25" s="136" t="s">
        <v>190</v>
      </c>
    </row>
    <row r="26" spans="1:2" x14ac:dyDescent="0.2">
      <c r="A26" s="136" t="s">
        <v>275</v>
      </c>
    </row>
    <row r="27" spans="1:2" x14ac:dyDescent="0.2">
      <c r="A27" s="136" t="s">
        <v>191</v>
      </c>
    </row>
    <row r="28" spans="1:2" x14ac:dyDescent="0.2">
      <c r="A28" s="136" t="s">
        <v>276</v>
      </c>
    </row>
    <row r="29" spans="1:2" x14ac:dyDescent="0.2">
      <c r="A29" s="136" t="s">
        <v>277</v>
      </c>
    </row>
    <row r="32" spans="1:2" ht="12.75" customHeight="1" x14ac:dyDescent="0.2"/>
    <row r="33" ht="12.75" customHeight="1" x14ac:dyDescent="0.2"/>
    <row r="36" ht="12.75" customHeight="1" x14ac:dyDescent="0.2"/>
  </sheetData>
  <hyperlinks>
    <hyperlink ref="A11" r:id="rId1"/>
  </hyperlinks>
  <pageMargins left="0.75" right="0.25" top="0.5" bottom="0.5" header="0.5" footer="0.5"/>
  <pageSetup scale="90" orientation="portrait" r:id="rId2"/>
  <headerFooter scaleWithDoc="0" alignWithMargins="0">
    <oddHeader>&amp;R&amp;8</oddHeader>
    <oddFooter>&amp;L&amp;8&amp;C&amp;8&amp;R&amp;8</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J107"/>
  <sheetViews>
    <sheetView zoomScaleNormal="100" zoomScaleSheetLayoutView="115" workbookViewId="0"/>
  </sheetViews>
  <sheetFormatPr defaultColWidth="9.140625" defaultRowHeight="12.75" x14ac:dyDescent="0.2"/>
  <cols>
    <col min="1" max="2" width="6.7109375" style="6" customWidth="1"/>
    <col min="3" max="3" width="15.42578125" style="6" customWidth="1"/>
    <col min="4" max="4" width="40.28515625" style="6" customWidth="1"/>
    <col min="5" max="5" width="52" style="210" customWidth="1"/>
    <col min="6" max="6" width="9.140625" style="6"/>
    <col min="7" max="8" width="11.42578125" style="6" customWidth="1"/>
    <col min="9" max="16384" width="9.140625" style="6"/>
  </cols>
  <sheetData>
    <row r="1" spans="1:10" ht="19.899999999999999" customHeight="1" x14ac:dyDescent="0.25">
      <c r="A1" s="202"/>
      <c r="B1" s="203"/>
      <c r="C1" s="203"/>
      <c r="D1" s="203"/>
      <c r="E1" s="204"/>
      <c r="F1" s="7"/>
      <c r="G1" s="7"/>
      <c r="H1" s="7"/>
      <c r="I1" s="7"/>
      <c r="J1" s="7"/>
    </row>
    <row r="2" spans="1:10" s="7" customFormat="1" ht="36.6" customHeight="1" thickBot="1" x14ac:dyDescent="0.45">
      <c r="A2" s="244" t="s">
        <v>249</v>
      </c>
      <c r="B2" s="244"/>
      <c r="C2" s="244"/>
      <c r="D2" s="244"/>
      <c r="E2" s="245"/>
    </row>
    <row r="3" spans="1:10" s="8" customFormat="1" ht="25.5" customHeight="1" x14ac:dyDescent="0.3">
      <c r="A3" s="183"/>
      <c r="B3" s="212"/>
      <c r="C3" s="212"/>
      <c r="D3" s="184"/>
      <c r="E3" s="205"/>
    </row>
    <row r="4" spans="1:10" s="180" customFormat="1" ht="138" customHeight="1" x14ac:dyDescent="0.25">
      <c r="A4" s="220"/>
      <c r="B4" s="246" t="s">
        <v>272</v>
      </c>
      <c r="C4" s="246"/>
      <c r="D4" s="246"/>
      <c r="E4" s="247"/>
    </row>
    <row r="5" spans="1:10" s="180" customFormat="1" ht="28.5" customHeight="1" x14ac:dyDescent="0.3">
      <c r="A5" s="185"/>
      <c r="B5" s="246" t="s">
        <v>273</v>
      </c>
      <c r="C5" s="246"/>
      <c r="D5" s="246"/>
      <c r="E5" s="250"/>
    </row>
    <row r="6" spans="1:10" s="8" customFormat="1" ht="39" customHeight="1" x14ac:dyDescent="0.3">
      <c r="A6" s="248" t="s">
        <v>250</v>
      </c>
      <c r="B6" s="248"/>
      <c r="C6" s="248"/>
      <c r="D6" s="248"/>
      <c r="E6" s="249"/>
    </row>
    <row r="7" spans="1:10" s="7" customFormat="1" ht="37.5" customHeight="1" x14ac:dyDescent="0.25">
      <c r="A7" s="186"/>
      <c r="B7" s="213"/>
      <c r="C7" s="246" t="s">
        <v>251</v>
      </c>
      <c r="D7" s="246"/>
      <c r="E7" s="250"/>
    </row>
    <row r="8" spans="1:10" s="179" customFormat="1" ht="39" customHeight="1" x14ac:dyDescent="0.3">
      <c r="A8" s="189"/>
      <c r="B8" s="190"/>
      <c r="C8" s="251" t="s">
        <v>271</v>
      </c>
      <c r="D8" s="251"/>
      <c r="E8" s="252"/>
    </row>
    <row r="9" spans="1:10" s="7" customFormat="1" ht="15.75" x14ac:dyDescent="0.25">
      <c r="A9" s="191"/>
      <c r="B9" s="261"/>
      <c r="C9" s="261"/>
      <c r="D9" s="261"/>
      <c r="E9" s="207"/>
    </row>
    <row r="10" spans="1:10" s="7" customFormat="1" ht="20.25" x14ac:dyDescent="0.3">
      <c r="A10" s="253" t="s">
        <v>259</v>
      </c>
      <c r="B10" s="253"/>
      <c r="C10" s="253"/>
      <c r="D10" s="253"/>
      <c r="E10" s="254"/>
    </row>
    <row r="11" spans="1:10" s="8" customFormat="1" ht="15" customHeight="1" x14ac:dyDescent="0.25">
      <c r="A11" s="191"/>
      <c r="B11" s="197"/>
      <c r="C11" s="198"/>
      <c r="D11" s="199"/>
      <c r="E11" s="208"/>
      <c r="F11" s="215"/>
    </row>
    <row r="12" spans="1:10" s="8" customFormat="1" ht="15.75" x14ac:dyDescent="0.25">
      <c r="A12" s="191"/>
      <c r="B12" s="200"/>
      <c r="C12" s="198"/>
      <c r="D12" s="199"/>
      <c r="E12" s="216" t="s">
        <v>261</v>
      </c>
      <c r="F12" s="215"/>
    </row>
    <row r="13" spans="1:10" s="8" customFormat="1" ht="15.75" x14ac:dyDescent="0.25">
      <c r="A13" s="191"/>
      <c r="B13" s="200"/>
      <c r="C13" s="198"/>
      <c r="D13" s="199"/>
      <c r="E13" s="208"/>
      <c r="F13" s="215"/>
    </row>
    <row r="14" spans="1:10" s="8" customFormat="1" ht="15.75" x14ac:dyDescent="0.25">
      <c r="A14" s="191"/>
      <c r="B14" s="200"/>
      <c r="C14" s="198"/>
      <c r="D14" s="199"/>
      <c r="E14" s="208"/>
      <c r="F14" s="215"/>
    </row>
    <row r="15" spans="1:10" s="8" customFormat="1" ht="15.75" x14ac:dyDescent="0.25">
      <c r="A15" s="191"/>
      <c r="B15" s="200"/>
      <c r="C15" s="198"/>
      <c r="D15" s="199"/>
      <c r="E15" s="208"/>
      <c r="F15" s="215"/>
    </row>
    <row r="16" spans="1:10" s="8" customFormat="1" ht="15.75" x14ac:dyDescent="0.25">
      <c r="A16" s="191"/>
      <c r="B16" s="200"/>
      <c r="C16" s="198"/>
      <c r="D16" s="199"/>
      <c r="E16" s="208"/>
      <c r="F16" s="215"/>
    </row>
    <row r="17" spans="1:6" s="8" customFormat="1" ht="15.75" x14ac:dyDescent="0.25">
      <c r="A17" s="191"/>
      <c r="B17" s="200"/>
      <c r="C17" s="198"/>
      <c r="D17" s="199"/>
      <c r="E17" s="208"/>
      <c r="F17" s="215"/>
    </row>
    <row r="18" spans="1:6" s="214" customFormat="1" x14ac:dyDescent="0.2">
      <c r="A18" s="201"/>
      <c r="B18" s="217" t="s">
        <v>231</v>
      </c>
      <c r="C18" s="201" t="s">
        <v>262</v>
      </c>
      <c r="D18" s="201"/>
      <c r="E18" s="209"/>
    </row>
    <row r="19" spans="1:6" s="214" customFormat="1" x14ac:dyDescent="0.2">
      <c r="A19" s="201"/>
      <c r="B19" s="217" t="s">
        <v>235</v>
      </c>
      <c r="C19" s="201" t="s">
        <v>252</v>
      </c>
      <c r="D19" s="201"/>
      <c r="E19" s="209"/>
    </row>
    <row r="20" spans="1:6" s="214" customFormat="1" x14ac:dyDescent="0.2">
      <c r="A20" s="201"/>
      <c r="B20" s="217" t="s">
        <v>256</v>
      </c>
      <c r="C20" s="201" t="s">
        <v>253</v>
      </c>
      <c r="D20" s="201"/>
      <c r="E20" s="209"/>
    </row>
    <row r="21" spans="1:6" s="214" customFormat="1" x14ac:dyDescent="0.2">
      <c r="A21" s="201"/>
      <c r="B21" s="217" t="s">
        <v>257</v>
      </c>
      <c r="C21" s="201" t="s">
        <v>254</v>
      </c>
      <c r="D21" s="201"/>
      <c r="E21" s="209"/>
    </row>
    <row r="22" spans="1:6" s="214" customFormat="1" x14ac:dyDescent="0.2">
      <c r="A22" s="201"/>
      <c r="B22" s="217" t="s">
        <v>258</v>
      </c>
      <c r="C22" s="201" t="s">
        <v>255</v>
      </c>
      <c r="D22" s="201"/>
      <c r="E22" s="209"/>
    </row>
    <row r="23" spans="1:6" s="214" customFormat="1" x14ac:dyDescent="0.2">
      <c r="A23" s="201"/>
      <c r="B23" s="201"/>
      <c r="C23" s="201"/>
      <c r="D23" s="201"/>
      <c r="E23" s="209"/>
    </row>
    <row r="24" spans="1:6" s="214" customFormat="1" x14ac:dyDescent="0.2">
      <c r="A24" s="201"/>
      <c r="B24" s="201"/>
      <c r="C24" s="201"/>
      <c r="D24" s="201"/>
      <c r="E24" s="209"/>
    </row>
    <row r="25" spans="1:6" s="214" customFormat="1" x14ac:dyDescent="0.2">
      <c r="A25" s="201"/>
      <c r="B25" s="201"/>
      <c r="C25" s="201"/>
      <c r="D25" s="201"/>
      <c r="E25" s="209"/>
    </row>
    <row r="26" spans="1:6" s="214" customFormat="1" x14ac:dyDescent="0.2">
      <c r="A26" s="201"/>
      <c r="B26" s="201"/>
      <c r="C26" s="201"/>
      <c r="D26" s="201"/>
      <c r="E26" s="209"/>
    </row>
    <row r="27" spans="1:6" s="214" customFormat="1" x14ac:dyDescent="0.2">
      <c r="A27" s="201"/>
      <c r="B27" s="201"/>
      <c r="C27" s="201"/>
      <c r="D27" s="201"/>
      <c r="E27" s="209"/>
    </row>
    <row r="28" spans="1:6" s="214" customFormat="1" x14ac:dyDescent="0.2">
      <c r="A28" s="201"/>
      <c r="B28" s="201"/>
      <c r="C28" s="201"/>
      <c r="D28" s="201"/>
      <c r="E28" s="209"/>
    </row>
    <row r="29" spans="1:6" s="214" customFormat="1" x14ac:dyDescent="0.2">
      <c r="A29" s="201"/>
      <c r="B29" s="201"/>
      <c r="C29" s="201"/>
      <c r="D29" s="201"/>
      <c r="E29" s="209"/>
    </row>
    <row r="30" spans="1:6" s="214" customFormat="1" x14ac:dyDescent="0.2">
      <c r="A30" s="201"/>
      <c r="B30" s="201"/>
      <c r="C30" s="201"/>
      <c r="D30" s="201"/>
      <c r="E30" s="209"/>
    </row>
    <row r="31" spans="1:6" s="214" customFormat="1" x14ac:dyDescent="0.2">
      <c r="A31" s="201"/>
      <c r="B31" s="201"/>
      <c r="C31" s="201"/>
      <c r="D31" s="201"/>
      <c r="E31" s="209"/>
    </row>
    <row r="32" spans="1:6" s="214" customFormat="1" x14ac:dyDescent="0.2">
      <c r="A32" s="201"/>
      <c r="B32" s="201"/>
      <c r="C32" s="201"/>
      <c r="D32" s="201"/>
      <c r="E32" s="209"/>
    </row>
    <row r="33" spans="1:5" s="214" customFormat="1" x14ac:dyDescent="0.2">
      <c r="A33" s="201"/>
      <c r="B33" s="201"/>
      <c r="C33" s="201"/>
      <c r="D33" s="201"/>
      <c r="E33" s="209"/>
    </row>
    <row r="34" spans="1:5" s="214" customFormat="1" x14ac:dyDescent="0.2">
      <c r="A34" s="201"/>
      <c r="B34" s="201"/>
      <c r="C34" s="201"/>
      <c r="D34" s="201"/>
      <c r="E34" s="209"/>
    </row>
    <row r="35" spans="1:5" s="214" customFormat="1" x14ac:dyDescent="0.2">
      <c r="A35" s="201"/>
      <c r="B35" s="201"/>
      <c r="C35" s="201"/>
      <c r="D35" s="201"/>
      <c r="E35" s="209"/>
    </row>
    <row r="36" spans="1:5" s="214" customFormat="1" x14ac:dyDescent="0.2">
      <c r="A36" s="201"/>
      <c r="B36" s="201"/>
      <c r="C36" s="201"/>
      <c r="D36" s="201"/>
      <c r="E36" s="209"/>
    </row>
    <row r="37" spans="1:5" s="214" customFormat="1" x14ac:dyDescent="0.2">
      <c r="A37" s="201"/>
      <c r="B37" s="201"/>
      <c r="C37" s="201"/>
      <c r="D37" s="201"/>
      <c r="E37" s="209"/>
    </row>
    <row r="38" spans="1:5" s="214" customFormat="1" x14ac:dyDescent="0.2">
      <c r="A38" s="201"/>
      <c r="B38" s="201"/>
      <c r="C38" s="201"/>
      <c r="D38" s="201"/>
      <c r="E38" s="209"/>
    </row>
    <row r="39" spans="1:5" s="214" customFormat="1" x14ac:dyDescent="0.2">
      <c r="A39" s="201"/>
      <c r="B39" s="201"/>
      <c r="C39" s="201"/>
      <c r="D39" s="201"/>
      <c r="E39" s="209"/>
    </row>
    <row r="40" spans="1:5" s="214" customFormat="1" ht="15" x14ac:dyDescent="0.25">
      <c r="A40" s="201"/>
      <c r="B40" s="201"/>
      <c r="C40" s="201"/>
      <c r="D40" s="201"/>
      <c r="E40" s="216" t="s">
        <v>263</v>
      </c>
    </row>
    <row r="41" spans="1:5" x14ac:dyDescent="0.2">
      <c r="A41" s="201"/>
      <c r="B41" s="201"/>
      <c r="C41" s="201"/>
      <c r="D41" s="201"/>
      <c r="E41" s="209"/>
    </row>
    <row r="42" spans="1:5" x14ac:dyDescent="0.2">
      <c r="A42" s="201"/>
      <c r="B42" s="201"/>
      <c r="C42" s="201"/>
      <c r="D42" s="201"/>
      <c r="E42" s="209"/>
    </row>
    <row r="43" spans="1:5" x14ac:dyDescent="0.2">
      <c r="A43" s="201"/>
      <c r="B43" s="201"/>
      <c r="C43" s="201"/>
      <c r="D43" s="201"/>
      <c r="E43" s="209"/>
    </row>
    <row r="44" spans="1:5" x14ac:dyDescent="0.2">
      <c r="A44" s="201"/>
      <c r="B44" s="201"/>
      <c r="C44" s="201"/>
      <c r="D44" s="201"/>
      <c r="E44" s="209"/>
    </row>
    <row r="45" spans="1:5" x14ac:dyDescent="0.2">
      <c r="A45" s="201"/>
      <c r="B45" s="201"/>
      <c r="C45" s="201"/>
      <c r="D45" s="201"/>
      <c r="E45" s="209"/>
    </row>
    <row r="46" spans="1:5" x14ac:dyDescent="0.2">
      <c r="A46" s="201"/>
      <c r="B46" s="201"/>
      <c r="C46" s="201"/>
      <c r="D46" s="201"/>
      <c r="E46" s="209"/>
    </row>
    <row r="47" spans="1:5" x14ac:dyDescent="0.2">
      <c r="A47" s="201"/>
      <c r="B47" s="201"/>
      <c r="C47" s="201"/>
      <c r="D47" s="201"/>
      <c r="E47" s="209"/>
    </row>
    <row r="48" spans="1:5" x14ac:dyDescent="0.2">
      <c r="A48" s="201"/>
      <c r="B48" s="201"/>
      <c r="C48" s="201"/>
      <c r="D48" s="201"/>
      <c r="E48" s="209"/>
    </row>
    <row r="49" spans="1:5" x14ac:dyDescent="0.2">
      <c r="A49" s="201"/>
      <c r="B49" s="201"/>
      <c r="C49" s="201"/>
      <c r="D49" s="201"/>
      <c r="E49" s="209"/>
    </row>
    <row r="50" spans="1:5" x14ac:dyDescent="0.2">
      <c r="A50" s="201"/>
      <c r="B50" s="201"/>
      <c r="C50" s="201"/>
      <c r="D50" s="201"/>
      <c r="E50" s="209"/>
    </row>
    <row r="51" spans="1:5" x14ac:dyDescent="0.2">
      <c r="A51" s="201"/>
      <c r="B51" s="201"/>
      <c r="C51" s="201"/>
      <c r="D51" s="201"/>
      <c r="E51" s="209"/>
    </row>
    <row r="52" spans="1:5" x14ac:dyDescent="0.2">
      <c r="A52" s="201"/>
      <c r="B52" s="201"/>
      <c r="C52" s="201"/>
      <c r="D52" s="201"/>
      <c r="E52" s="209"/>
    </row>
    <row r="53" spans="1:5" x14ac:dyDescent="0.2">
      <c r="A53" s="201"/>
      <c r="B53" s="201"/>
      <c r="C53" s="201"/>
      <c r="D53" s="201"/>
      <c r="E53" s="209"/>
    </row>
    <row r="54" spans="1:5" x14ac:dyDescent="0.2">
      <c r="A54" s="201"/>
      <c r="B54" s="201"/>
      <c r="C54" s="201"/>
      <c r="D54" s="201"/>
      <c r="E54" s="209"/>
    </row>
    <row r="55" spans="1:5" x14ac:dyDescent="0.2">
      <c r="A55" s="201"/>
      <c r="B55" s="201"/>
      <c r="C55" s="201"/>
      <c r="D55" s="201"/>
      <c r="E55" s="209"/>
    </row>
    <row r="56" spans="1:5" x14ac:dyDescent="0.2">
      <c r="A56" s="201"/>
      <c r="B56" s="201"/>
      <c r="C56" s="201"/>
      <c r="D56" s="201"/>
      <c r="E56" s="209"/>
    </row>
    <row r="57" spans="1:5" x14ac:dyDescent="0.2">
      <c r="A57" s="201"/>
      <c r="B57" s="201"/>
      <c r="C57" s="201"/>
      <c r="D57" s="201"/>
      <c r="E57" s="209"/>
    </row>
    <row r="58" spans="1:5" x14ac:dyDescent="0.2">
      <c r="A58" s="201"/>
      <c r="B58" s="201"/>
      <c r="C58" s="201"/>
      <c r="D58" s="201"/>
      <c r="E58" s="209"/>
    </row>
    <row r="59" spans="1:5" x14ac:dyDescent="0.2">
      <c r="A59" s="201"/>
      <c r="B59" s="217" t="s">
        <v>260</v>
      </c>
      <c r="C59" s="201" t="s">
        <v>270</v>
      </c>
      <c r="D59" s="201"/>
      <c r="E59" s="209"/>
    </row>
    <row r="60" spans="1:5" x14ac:dyDescent="0.2">
      <c r="A60" s="201"/>
      <c r="B60" s="201"/>
      <c r="C60" s="201"/>
      <c r="D60" s="201"/>
      <c r="E60" s="209"/>
    </row>
    <row r="61" spans="1:5" x14ac:dyDescent="0.2">
      <c r="A61" s="201"/>
      <c r="B61" s="201"/>
      <c r="C61" s="201"/>
      <c r="D61" s="201"/>
      <c r="E61" s="209"/>
    </row>
    <row r="62" spans="1:5" x14ac:dyDescent="0.2">
      <c r="A62" s="201"/>
      <c r="B62" s="201"/>
      <c r="C62" s="201"/>
      <c r="D62" s="201"/>
      <c r="E62" s="209"/>
    </row>
    <row r="63" spans="1:5" x14ac:dyDescent="0.2">
      <c r="A63" s="201"/>
      <c r="B63" s="201"/>
      <c r="C63" s="201"/>
      <c r="D63" s="201"/>
      <c r="E63" s="209"/>
    </row>
    <row r="64" spans="1:5" x14ac:dyDescent="0.2">
      <c r="A64" s="201"/>
      <c r="B64" s="201"/>
      <c r="C64" s="201"/>
      <c r="D64" s="201"/>
      <c r="E64" s="209"/>
    </row>
    <row r="65" spans="1:5" x14ac:dyDescent="0.2">
      <c r="A65" s="201"/>
      <c r="B65" s="201"/>
      <c r="C65" s="201"/>
      <c r="D65" s="201"/>
      <c r="E65" s="209"/>
    </row>
    <row r="66" spans="1:5" x14ac:dyDescent="0.2">
      <c r="A66" s="201"/>
      <c r="B66" s="201"/>
      <c r="C66" s="201"/>
      <c r="D66" s="201"/>
      <c r="E66" s="209"/>
    </row>
    <row r="67" spans="1:5" x14ac:dyDescent="0.2">
      <c r="A67" s="201"/>
      <c r="B67" s="201"/>
      <c r="C67" s="201"/>
      <c r="D67" s="201"/>
      <c r="E67" s="209"/>
    </row>
    <row r="68" spans="1:5" x14ac:dyDescent="0.2">
      <c r="A68" s="201"/>
      <c r="B68" s="201"/>
      <c r="C68" s="201"/>
      <c r="D68" s="201"/>
      <c r="E68" s="209"/>
    </row>
    <row r="69" spans="1:5" x14ac:dyDescent="0.2">
      <c r="A69" s="201"/>
      <c r="B69" s="201"/>
      <c r="C69" s="201"/>
      <c r="D69" s="201"/>
      <c r="E69" s="209"/>
    </row>
    <row r="70" spans="1:5" x14ac:dyDescent="0.2">
      <c r="A70" s="201"/>
      <c r="B70" s="201"/>
      <c r="C70" s="201"/>
      <c r="D70" s="201"/>
      <c r="E70" s="209"/>
    </row>
    <row r="71" spans="1:5" x14ac:dyDescent="0.2">
      <c r="A71" s="201"/>
      <c r="B71" s="201"/>
      <c r="C71" s="201"/>
      <c r="D71" s="201"/>
      <c r="E71" s="209"/>
    </row>
    <row r="72" spans="1:5" x14ac:dyDescent="0.2">
      <c r="A72" s="201"/>
      <c r="B72" s="201"/>
      <c r="C72" s="201"/>
      <c r="D72" s="201"/>
      <c r="E72" s="209"/>
    </row>
    <row r="73" spans="1:5" x14ac:dyDescent="0.2">
      <c r="A73" s="201"/>
      <c r="B73" s="201"/>
      <c r="C73" s="201"/>
      <c r="D73" s="201"/>
      <c r="E73" s="209"/>
    </row>
    <row r="74" spans="1:5" ht="16.5" customHeight="1" x14ac:dyDescent="0.2">
      <c r="A74" s="201"/>
      <c r="B74" s="218" t="s">
        <v>265</v>
      </c>
      <c r="C74" s="255" t="s">
        <v>264</v>
      </c>
      <c r="D74" s="255"/>
      <c r="E74" s="256"/>
    </row>
    <row r="75" spans="1:5" x14ac:dyDescent="0.2">
      <c r="A75" s="201"/>
      <c r="B75" s="201"/>
      <c r="C75" s="201"/>
      <c r="D75" s="201"/>
      <c r="E75" s="209"/>
    </row>
    <row r="76" spans="1:5" x14ac:dyDescent="0.2">
      <c r="A76" s="201"/>
      <c r="B76" s="201"/>
      <c r="C76" s="201"/>
      <c r="D76" s="201"/>
      <c r="E76" s="209"/>
    </row>
    <row r="77" spans="1:5" x14ac:dyDescent="0.2">
      <c r="A77" s="201"/>
      <c r="B77" s="201"/>
      <c r="C77" s="201"/>
      <c r="D77" s="201"/>
      <c r="E77" s="209"/>
    </row>
    <row r="78" spans="1:5" x14ac:dyDescent="0.2">
      <c r="A78" s="201"/>
      <c r="B78" s="201"/>
      <c r="C78" s="201"/>
      <c r="D78" s="201"/>
      <c r="E78" s="209"/>
    </row>
    <row r="79" spans="1:5" x14ac:dyDescent="0.2">
      <c r="A79" s="201"/>
      <c r="B79" s="201"/>
      <c r="C79" s="201"/>
      <c r="D79" s="201"/>
      <c r="E79" s="209"/>
    </row>
    <row r="80" spans="1:5" ht="18.75" customHeight="1" x14ac:dyDescent="0.2">
      <c r="A80" s="201"/>
      <c r="B80" s="201"/>
      <c r="C80" s="201"/>
      <c r="D80" s="201"/>
      <c r="E80" s="209"/>
    </row>
    <row r="81" spans="1:5" x14ac:dyDescent="0.2">
      <c r="A81" s="201"/>
      <c r="B81" s="217" t="s">
        <v>266</v>
      </c>
      <c r="C81" s="257" t="s">
        <v>267</v>
      </c>
      <c r="D81" s="257"/>
      <c r="E81" s="258"/>
    </row>
    <row r="82" spans="1:5" x14ac:dyDescent="0.2">
      <c r="A82" s="201"/>
      <c r="B82" s="201"/>
      <c r="C82" s="201"/>
      <c r="D82" s="201"/>
      <c r="E82" s="209"/>
    </row>
    <row r="83" spans="1:5" x14ac:dyDescent="0.2">
      <c r="A83" s="201"/>
      <c r="B83" s="201"/>
      <c r="C83" s="201"/>
      <c r="D83" s="201"/>
      <c r="E83" s="209"/>
    </row>
    <row r="84" spans="1:5" x14ac:dyDescent="0.2">
      <c r="A84" s="201"/>
      <c r="B84" s="201"/>
      <c r="C84" s="201"/>
      <c r="D84" s="201"/>
      <c r="E84" s="209"/>
    </row>
    <row r="85" spans="1:5" x14ac:dyDescent="0.2">
      <c r="A85" s="201"/>
      <c r="B85" s="201"/>
      <c r="C85" s="201"/>
      <c r="D85" s="201"/>
      <c r="E85" s="209"/>
    </row>
    <row r="86" spans="1:5" x14ac:dyDescent="0.2">
      <c r="A86" s="201"/>
      <c r="B86" s="201"/>
      <c r="C86" s="201"/>
      <c r="D86" s="201"/>
      <c r="E86" s="209"/>
    </row>
    <row r="87" spans="1:5" x14ac:dyDescent="0.2">
      <c r="A87" s="201"/>
      <c r="B87" s="201"/>
      <c r="C87" s="201"/>
      <c r="D87" s="201"/>
      <c r="E87" s="209"/>
    </row>
    <row r="88" spans="1:5" x14ac:dyDescent="0.2">
      <c r="A88" s="201"/>
      <c r="B88" s="201"/>
      <c r="C88" s="201"/>
      <c r="D88" s="201"/>
      <c r="E88" s="209"/>
    </row>
    <row r="89" spans="1:5" x14ac:dyDescent="0.2">
      <c r="A89" s="201"/>
      <c r="B89" s="201"/>
      <c r="C89" s="201"/>
      <c r="D89" s="201"/>
      <c r="E89" s="209"/>
    </row>
    <row r="90" spans="1:5" x14ac:dyDescent="0.2">
      <c r="A90" s="201"/>
      <c r="B90" s="201"/>
      <c r="C90" s="201"/>
      <c r="D90" s="201"/>
      <c r="E90" s="209"/>
    </row>
    <row r="91" spans="1:5" x14ac:dyDescent="0.2">
      <c r="A91" s="201"/>
      <c r="B91" s="201"/>
      <c r="C91" s="201"/>
      <c r="D91" s="201"/>
      <c r="E91" s="209"/>
    </row>
    <row r="92" spans="1:5" x14ac:dyDescent="0.2">
      <c r="A92" s="201"/>
      <c r="B92" s="201"/>
      <c r="C92" s="201"/>
      <c r="D92" s="201"/>
      <c r="E92" s="209"/>
    </row>
    <row r="93" spans="1:5" x14ac:dyDescent="0.2">
      <c r="A93" s="201"/>
      <c r="B93" s="201"/>
      <c r="C93" s="201"/>
      <c r="D93" s="201"/>
      <c r="E93" s="209"/>
    </row>
    <row r="94" spans="1:5" x14ac:dyDescent="0.2">
      <c r="A94" s="201"/>
      <c r="B94" s="201"/>
      <c r="C94" s="201"/>
      <c r="D94" s="201"/>
      <c r="E94" s="209"/>
    </row>
    <row r="95" spans="1:5" x14ac:dyDescent="0.2">
      <c r="A95" s="201"/>
      <c r="B95" s="201"/>
      <c r="C95" s="201"/>
      <c r="D95" s="201"/>
      <c r="E95" s="209"/>
    </row>
    <row r="96" spans="1:5" x14ac:dyDescent="0.2">
      <c r="A96" s="201"/>
      <c r="B96" s="201"/>
      <c r="C96" s="201"/>
      <c r="D96" s="201"/>
      <c r="E96" s="209"/>
    </row>
    <row r="97" spans="1:5" x14ac:dyDescent="0.2">
      <c r="A97" s="201"/>
      <c r="B97" s="201"/>
      <c r="C97" s="201"/>
      <c r="D97" s="201"/>
      <c r="E97" s="209"/>
    </row>
    <row r="98" spans="1:5" x14ac:dyDescent="0.2">
      <c r="A98" s="201"/>
      <c r="B98" s="201"/>
      <c r="C98" s="201"/>
      <c r="D98" s="201"/>
      <c r="E98" s="209"/>
    </row>
    <row r="99" spans="1:5" x14ac:dyDescent="0.2">
      <c r="A99" s="201"/>
      <c r="B99" s="201"/>
      <c r="C99" s="201"/>
      <c r="D99" s="201"/>
      <c r="E99" s="209"/>
    </row>
    <row r="100" spans="1:5" x14ac:dyDescent="0.2">
      <c r="A100" s="201"/>
      <c r="B100" s="201"/>
      <c r="C100" s="201"/>
      <c r="D100" s="201"/>
      <c r="E100" s="209"/>
    </row>
    <row r="101" spans="1:5" x14ac:dyDescent="0.2">
      <c r="A101" s="201"/>
      <c r="B101" s="201"/>
      <c r="C101" s="201"/>
      <c r="D101" s="201"/>
      <c r="E101" s="209"/>
    </row>
    <row r="102" spans="1:5" x14ac:dyDescent="0.2">
      <c r="A102" s="201"/>
      <c r="B102" s="201"/>
      <c r="C102" s="201"/>
      <c r="D102" s="201"/>
      <c r="E102" s="209"/>
    </row>
    <row r="103" spans="1:5" x14ac:dyDescent="0.2">
      <c r="A103" s="201"/>
      <c r="B103" s="201"/>
      <c r="C103" s="201"/>
      <c r="D103" s="201"/>
      <c r="E103" s="209"/>
    </row>
    <row r="104" spans="1:5" x14ac:dyDescent="0.2">
      <c r="A104" s="201"/>
      <c r="B104" s="201"/>
      <c r="C104" s="201"/>
      <c r="D104" s="201"/>
      <c r="E104" s="209"/>
    </row>
    <row r="105" spans="1:5" x14ac:dyDescent="0.2">
      <c r="A105" s="201"/>
      <c r="B105" s="201"/>
      <c r="C105" s="201"/>
      <c r="D105" s="201"/>
      <c r="E105" s="209"/>
    </row>
    <row r="106" spans="1:5" x14ac:dyDescent="0.2">
      <c r="A106" s="201"/>
      <c r="B106" s="201"/>
      <c r="C106" s="201"/>
      <c r="D106" s="201"/>
      <c r="E106" s="209"/>
    </row>
    <row r="107" spans="1:5" ht="29.25" customHeight="1" x14ac:dyDescent="0.2">
      <c r="A107" s="201"/>
      <c r="B107" s="219" t="s">
        <v>268</v>
      </c>
      <c r="C107" s="259" t="s">
        <v>269</v>
      </c>
      <c r="D107" s="259"/>
      <c r="E107" s="260"/>
    </row>
  </sheetData>
  <dataConsolidate/>
  <mergeCells count="11">
    <mergeCell ref="A10:E10"/>
    <mergeCell ref="C74:E74"/>
    <mergeCell ref="C81:E81"/>
    <mergeCell ref="C107:E107"/>
    <mergeCell ref="B9:D9"/>
    <mergeCell ref="A2:E2"/>
    <mergeCell ref="B4:E4"/>
    <mergeCell ref="A6:E6"/>
    <mergeCell ref="C7:E7"/>
    <mergeCell ref="C8:E8"/>
    <mergeCell ref="B5:E5"/>
  </mergeCells>
  <pageMargins left="0.75" right="0.75" top="1" bottom="1" header="0.5" footer="0.5"/>
  <pageSetup scale="85" fitToHeight="0" orientation="portrait" r:id="rId1"/>
  <headerFooter scaleWithDoc="0" alignWithMargins="0">
    <oddHeader>&amp;C&amp;8&amp;R&amp;8 Introduction</oddHeader>
    <oddFooter xml:space="preserve">&amp;L&amp;8 80-xxxxx-1 A
 &amp;C&amp;8
&amp;8Confidential and Proprietary – Qualcomm Technologies, Inc._x000D_&amp;"Arial,Bold"MAY CONTAIN U.S. AND INTERNATIONAL EXPORT CONTROLLED INFORMATION&amp;R&amp;8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77"/>
  <sheetViews>
    <sheetView zoomScaleNormal="100" workbookViewId="0"/>
  </sheetViews>
  <sheetFormatPr defaultRowHeight="12.75" x14ac:dyDescent="0.2"/>
  <cols>
    <col min="1" max="1" width="9.42578125" style="20" customWidth="1"/>
    <col min="2" max="2" width="13.85546875" style="20" customWidth="1"/>
    <col min="3" max="3" width="36.140625" style="21" customWidth="1"/>
    <col min="4" max="5" width="6.85546875" style="22" customWidth="1"/>
    <col min="6" max="6" width="12.28515625" style="22" customWidth="1"/>
    <col min="7" max="7" width="144.28515625" style="23" customWidth="1"/>
    <col min="8" max="16384" width="9.140625" style="20"/>
  </cols>
  <sheetData>
    <row r="1" spans="2:7" ht="13.5" thickBot="1" x14ac:dyDescent="0.25"/>
    <row r="2" spans="2:7" ht="24.75" customHeight="1" thickBot="1" x14ac:dyDescent="0.25">
      <c r="B2" s="24" t="s">
        <v>5</v>
      </c>
      <c r="C2" s="288"/>
      <c r="D2" s="289"/>
      <c r="E2" s="289"/>
      <c r="F2" s="290"/>
    </row>
    <row r="3" spans="2:7" ht="24.75" customHeight="1" thickBot="1" x14ac:dyDescent="0.25"/>
    <row r="4" spans="2:7" ht="28.5" customHeight="1" thickBot="1" x14ac:dyDescent="0.25">
      <c r="B4" s="25"/>
      <c r="C4" s="26"/>
      <c r="D4" s="291"/>
      <c r="E4" s="291"/>
      <c r="F4" s="291"/>
      <c r="G4" s="27" t="s">
        <v>6</v>
      </c>
    </row>
    <row r="5" spans="2:7" ht="29.25" customHeight="1" x14ac:dyDescent="0.2">
      <c r="B5" s="277" t="s">
        <v>7</v>
      </c>
      <c r="C5" s="28" t="s">
        <v>8</v>
      </c>
      <c r="D5" s="292">
        <v>3.85</v>
      </c>
      <c r="E5" s="293"/>
      <c r="F5" s="294"/>
      <c r="G5" s="295" t="s">
        <v>286</v>
      </c>
    </row>
    <row r="6" spans="2:7" ht="29.25" customHeight="1" x14ac:dyDescent="0.2">
      <c r="B6" s="277"/>
      <c r="C6" s="28" t="s">
        <v>9</v>
      </c>
      <c r="D6" s="296">
        <v>2.2000000000000002</v>
      </c>
      <c r="E6" s="297"/>
      <c r="F6" s="298"/>
      <c r="G6" s="287"/>
    </row>
    <row r="7" spans="2:7" ht="29.25" customHeight="1" x14ac:dyDescent="0.2">
      <c r="B7" s="277"/>
      <c r="C7" s="28" t="s">
        <v>10</v>
      </c>
      <c r="D7" s="296">
        <v>1.1200000000000001</v>
      </c>
      <c r="E7" s="297"/>
      <c r="F7" s="298"/>
      <c r="G7" s="287"/>
    </row>
    <row r="8" spans="2:7" ht="29.25" customHeight="1" thickBot="1" x14ac:dyDescent="0.25">
      <c r="B8" s="278"/>
      <c r="C8" s="28" t="s">
        <v>11</v>
      </c>
      <c r="D8" s="299">
        <f>ROUND(D5^2/(D6*((2*D7))),4)*100</f>
        <v>300.78000000000003</v>
      </c>
      <c r="E8" s="300"/>
      <c r="F8" s="301"/>
      <c r="G8" s="29"/>
    </row>
    <row r="9" spans="2:7" ht="29.25" customHeight="1" thickBot="1" x14ac:dyDescent="0.25">
      <c r="B9" s="276" t="s">
        <v>12</v>
      </c>
      <c r="C9" s="28"/>
      <c r="D9" s="30"/>
      <c r="E9" s="30"/>
      <c r="F9" s="30"/>
      <c r="G9" s="29"/>
    </row>
    <row r="10" spans="2:7" ht="65.25" customHeight="1" thickBot="1" x14ac:dyDescent="0.25">
      <c r="B10" s="277"/>
      <c r="C10" s="28" t="s">
        <v>13</v>
      </c>
      <c r="D10" s="279">
        <v>0.72</v>
      </c>
      <c r="E10" s="280"/>
      <c r="F10" s="281"/>
      <c r="G10" s="282" t="s">
        <v>287</v>
      </c>
    </row>
    <row r="11" spans="2:7" ht="47.25" customHeight="1" thickBot="1" x14ac:dyDescent="0.25">
      <c r="B11" s="278"/>
      <c r="C11" s="28"/>
      <c r="D11" s="30"/>
      <c r="E11" s="30"/>
      <c r="F11" s="30"/>
      <c r="G11" s="283"/>
    </row>
    <row r="12" spans="2:7" ht="29.25" customHeight="1" thickBot="1" x14ac:dyDescent="0.25">
      <c r="B12" s="276" t="s">
        <v>14</v>
      </c>
      <c r="C12" s="28"/>
      <c r="D12" s="30" t="s">
        <v>15</v>
      </c>
      <c r="E12" s="30" t="s">
        <v>16</v>
      </c>
      <c r="F12" s="30" t="s">
        <v>17</v>
      </c>
      <c r="G12" s="283"/>
    </row>
    <row r="13" spans="2:7" ht="42.75" customHeight="1" thickBot="1" x14ac:dyDescent="0.25">
      <c r="B13" s="277"/>
      <c r="C13" s="28" t="s">
        <v>18</v>
      </c>
      <c r="D13" s="284"/>
      <c r="E13" s="285"/>
      <c r="F13" s="286"/>
      <c r="G13" s="29"/>
    </row>
    <row r="14" spans="2:7" ht="50.25" customHeight="1" x14ac:dyDescent="0.2">
      <c r="B14" s="277"/>
      <c r="C14" s="28" t="s">
        <v>19</v>
      </c>
      <c r="D14" s="31"/>
      <c r="E14" s="32">
        <v>175</v>
      </c>
      <c r="F14" s="33"/>
      <c r="G14" s="287" t="s">
        <v>20</v>
      </c>
    </row>
    <row r="15" spans="2:7" ht="48.75" customHeight="1" x14ac:dyDescent="0.2">
      <c r="B15" s="277"/>
      <c r="C15" s="28" t="s">
        <v>21</v>
      </c>
      <c r="D15" s="34"/>
      <c r="E15" s="35">
        <v>470</v>
      </c>
      <c r="F15" s="36"/>
      <c r="G15" s="287"/>
    </row>
    <row r="16" spans="2:7" ht="47.25" customHeight="1" x14ac:dyDescent="0.2">
      <c r="B16" s="277"/>
      <c r="C16" s="28" t="s">
        <v>22</v>
      </c>
      <c r="D16" s="34"/>
      <c r="E16" s="35">
        <v>372</v>
      </c>
      <c r="F16" s="36"/>
      <c r="G16" s="287" t="s">
        <v>23</v>
      </c>
    </row>
    <row r="17" spans="2:7" ht="61.5" customHeight="1" thickBot="1" x14ac:dyDescent="0.25">
      <c r="B17" s="278"/>
      <c r="C17" s="28" t="s">
        <v>24</v>
      </c>
      <c r="D17" s="37"/>
      <c r="E17" s="38">
        <v>227</v>
      </c>
      <c r="F17" s="39"/>
      <c r="G17" s="287"/>
    </row>
    <row r="18" spans="2:7" s="41" customFormat="1" ht="44.25" customHeight="1" thickBot="1" x14ac:dyDescent="0.25">
      <c r="B18" s="40" t="s">
        <v>25</v>
      </c>
      <c r="C18" s="274" t="s">
        <v>26</v>
      </c>
      <c r="D18" s="274"/>
      <c r="E18" s="274"/>
      <c r="F18" s="274"/>
      <c r="G18" s="275"/>
    </row>
    <row r="19" spans="2:7" ht="35.25" customHeight="1" x14ac:dyDescent="0.2"/>
    <row r="20" spans="2:7" ht="15.75" x14ac:dyDescent="0.2">
      <c r="C20" s="42" t="s">
        <v>27</v>
      </c>
      <c r="D20" s="267">
        <f>ROUND(0.8*$E$14,0)</f>
        <v>140</v>
      </c>
      <c r="E20" s="268"/>
      <c r="F20" s="269"/>
    </row>
    <row r="21" spans="2:7" ht="15.75" x14ac:dyDescent="0.2">
      <c r="C21" s="42" t="s">
        <v>28</v>
      </c>
      <c r="D21" s="270">
        <v>400</v>
      </c>
      <c r="E21" s="271"/>
      <c r="F21" s="272"/>
      <c r="G21" s="23" t="s">
        <v>288</v>
      </c>
    </row>
    <row r="22" spans="2:7" ht="12.75" customHeight="1" x14ac:dyDescent="0.2">
      <c r="C22" s="20"/>
      <c r="D22" s="176"/>
      <c r="E22" s="176"/>
      <c r="F22" s="177"/>
    </row>
    <row r="23" spans="2:7" ht="12.75" customHeight="1" x14ac:dyDescent="0.2">
      <c r="C23" s="20"/>
      <c r="D23" s="176"/>
      <c r="E23" s="176"/>
      <c r="F23" s="177"/>
    </row>
    <row r="24" spans="2:7" ht="18" customHeight="1" x14ac:dyDescent="0.2">
      <c r="C24" s="42" t="s">
        <v>29</v>
      </c>
      <c r="D24" s="273">
        <f>ROUND(SQRT(ABS('[1]Customer Worksheet'!$E$17-'[1]Customer Worksheet'!$E$16)/'[1]Customer Worksheet'!$D$10:$F$10*0.1),2)</f>
        <v>6.39</v>
      </c>
      <c r="E24" s="273"/>
      <c r="F24" s="273"/>
    </row>
    <row r="25" spans="2:7" ht="18" customHeight="1" x14ac:dyDescent="0.2">
      <c r="C25" s="42" t="s">
        <v>30</v>
      </c>
      <c r="D25" s="264">
        <f>DOF_unidirectional_actuator!K29</f>
        <v>143</v>
      </c>
      <c r="E25" s="264"/>
      <c r="F25" s="264"/>
    </row>
    <row r="26" spans="2:7" ht="24.75" customHeight="1" x14ac:dyDescent="0.2">
      <c r="C26" s="42" t="s">
        <v>31</v>
      </c>
      <c r="D26" s="264">
        <f>DOF_unidirectional_actuator!K28</f>
        <v>143</v>
      </c>
      <c r="E26" s="264"/>
      <c r="F26" s="264"/>
    </row>
    <row r="27" spans="2:7" ht="24.75" customHeight="1" x14ac:dyDescent="0.2">
      <c r="C27" s="42" t="s">
        <v>32</v>
      </c>
      <c r="D27" s="264">
        <f>DOF_unidirectional_actuator!K27</f>
        <v>167</v>
      </c>
      <c r="E27" s="264"/>
      <c r="F27" s="264"/>
    </row>
    <row r="28" spans="2:7" ht="24.75" customHeight="1" x14ac:dyDescent="0.2">
      <c r="C28" s="42" t="s">
        <v>33</v>
      </c>
      <c r="D28" s="264">
        <f>DOF_unidirectional_actuator!K26</f>
        <v>229</v>
      </c>
      <c r="E28" s="264"/>
      <c r="F28" s="264"/>
    </row>
    <row r="29" spans="2:7" ht="24.75" customHeight="1" x14ac:dyDescent="0.2">
      <c r="C29" s="42" t="s">
        <v>34</v>
      </c>
      <c r="D29" s="264">
        <f>DOF_unidirectional_actuator!K25</f>
        <v>274</v>
      </c>
      <c r="E29" s="264"/>
      <c r="F29" s="264"/>
    </row>
    <row r="30" spans="2:7" ht="24.75" customHeight="1" x14ac:dyDescent="0.2">
      <c r="C30" s="42" t="s">
        <v>35</v>
      </c>
      <c r="D30" s="264">
        <f>DOF_unidirectional_actuator!K24</f>
        <v>309</v>
      </c>
      <c r="E30" s="264"/>
      <c r="F30" s="264"/>
    </row>
    <row r="31" spans="2:7" ht="24.75" customHeight="1" x14ac:dyDescent="0.2">
      <c r="C31" s="42" t="s">
        <v>36</v>
      </c>
      <c r="D31" s="264">
        <f>DOF_unidirectional_actuator!K23</f>
        <v>327</v>
      </c>
      <c r="E31" s="264"/>
      <c r="F31" s="264"/>
    </row>
    <row r="32" spans="2:7" ht="24.75" customHeight="1" x14ac:dyDescent="0.2">
      <c r="C32" s="42" t="s">
        <v>37</v>
      </c>
      <c r="D32" s="264">
        <f>DOF_unidirectional_actuator!K22</f>
        <v>337</v>
      </c>
      <c r="E32" s="264"/>
      <c r="F32" s="264"/>
    </row>
    <row r="33" spans="3:6" ht="24.75" customHeight="1" x14ac:dyDescent="0.2">
      <c r="C33" s="42" t="s">
        <v>38</v>
      </c>
      <c r="D33" s="264">
        <f>DOF_unidirectional_actuator!K21</f>
        <v>344</v>
      </c>
      <c r="E33" s="264"/>
      <c r="F33" s="264"/>
    </row>
    <row r="34" spans="3:6" ht="24.75" customHeight="1" x14ac:dyDescent="0.2">
      <c r="C34" s="42" t="s">
        <v>39</v>
      </c>
      <c r="D34" s="264">
        <f>DOF_unidirectional_actuator!K20</f>
        <v>361</v>
      </c>
      <c r="E34" s="264"/>
      <c r="F34" s="264"/>
    </row>
    <row r="35" spans="3:6" ht="24.75" customHeight="1" x14ac:dyDescent="0.2">
      <c r="C35" s="42" t="s">
        <v>40</v>
      </c>
      <c r="D35" s="264">
        <f>DOF_unidirectional_actuator!K19</f>
        <v>399</v>
      </c>
      <c r="E35" s="264"/>
      <c r="F35" s="264"/>
    </row>
    <row r="36" spans="3:6" ht="24.75" customHeight="1" x14ac:dyDescent="0.2">
      <c r="C36" s="20"/>
      <c r="D36" s="178"/>
      <c r="E36" s="178"/>
      <c r="F36" s="178"/>
    </row>
    <row r="37" spans="3:6" ht="27.75" customHeight="1" x14ac:dyDescent="0.2">
      <c r="C37" s="42" t="s">
        <v>41</v>
      </c>
      <c r="D37" s="264">
        <f>DOF_unidirectional_actuator!K37</f>
        <v>378</v>
      </c>
      <c r="E37" s="264"/>
      <c r="F37" s="264"/>
    </row>
    <row r="38" spans="3:6" ht="12.75" customHeight="1" x14ac:dyDescent="0.2">
      <c r="D38" s="177"/>
      <c r="E38" s="177"/>
      <c r="F38" s="177"/>
    </row>
    <row r="39" spans="3:6" ht="12.75" customHeight="1" x14ac:dyDescent="0.2">
      <c r="D39" s="177"/>
      <c r="E39" s="177"/>
      <c r="F39" s="177"/>
    </row>
    <row r="40" spans="3:6" ht="23.25" customHeight="1" x14ac:dyDescent="0.2">
      <c r="C40" s="42" t="s">
        <v>42</v>
      </c>
      <c r="D40" s="266">
        <f>DOF_unidirectional_actuator!J3</f>
        <v>4.9343991776231633</v>
      </c>
      <c r="E40" s="266"/>
      <c r="F40" s="266"/>
    </row>
    <row r="41" spans="3:6" ht="28.5" customHeight="1" x14ac:dyDescent="0.2">
      <c r="C41" s="42" t="s">
        <v>43</v>
      </c>
      <c r="D41" s="266">
        <f>DOF_unidirectional_actuator!J4</f>
        <v>6</v>
      </c>
      <c r="E41" s="266"/>
      <c r="F41" s="266"/>
    </row>
    <row r="42" spans="3:6" ht="24" customHeight="1" x14ac:dyDescent="0.2">
      <c r="C42" s="42" t="s">
        <v>44</v>
      </c>
      <c r="D42" s="266">
        <f>DOF_unidirectional_actuator!F6</f>
        <v>1</v>
      </c>
      <c r="E42" s="266"/>
      <c r="F42" s="266"/>
    </row>
    <row r="43" spans="3:6" ht="12.75" customHeight="1" x14ac:dyDescent="0.2">
      <c r="D43" s="177"/>
      <c r="E43" s="177"/>
      <c r="F43" s="177"/>
    </row>
    <row r="44" spans="3:6" ht="12.75" customHeight="1" x14ac:dyDescent="0.2">
      <c r="D44" s="177"/>
      <c r="E44" s="177"/>
      <c r="F44" s="177"/>
    </row>
    <row r="45" spans="3:6" ht="21" customHeight="1" x14ac:dyDescent="0.2">
      <c r="C45" s="42" t="s">
        <v>45</v>
      </c>
      <c r="D45" s="264">
        <v>0</v>
      </c>
      <c r="E45" s="264"/>
      <c r="F45" s="264"/>
    </row>
    <row r="46" spans="3:6" ht="21" customHeight="1" x14ac:dyDescent="0.2">
      <c r="C46" s="42" t="s">
        <v>46</v>
      </c>
      <c r="D46" s="264">
        <f>D28</f>
        <v>229</v>
      </c>
      <c r="E46" s="264"/>
      <c r="F46" s="264"/>
    </row>
    <row r="47" spans="3:6" ht="21" customHeight="1" x14ac:dyDescent="0.2">
      <c r="C47" s="42" t="s">
        <v>47</v>
      </c>
      <c r="D47" s="264">
        <f>D32</f>
        <v>337</v>
      </c>
      <c r="E47" s="264"/>
      <c r="F47" s="264"/>
    </row>
    <row r="48" spans="3:6" ht="21" customHeight="1" x14ac:dyDescent="0.2">
      <c r="C48" s="42" t="s">
        <v>48</v>
      </c>
      <c r="D48" s="264">
        <f>D34</f>
        <v>361</v>
      </c>
      <c r="E48" s="264"/>
      <c r="F48" s="264"/>
    </row>
    <row r="49" spans="1:7" ht="21" customHeight="1" x14ac:dyDescent="0.2">
      <c r="C49" s="42" t="s">
        <v>49</v>
      </c>
      <c r="D49" s="264">
        <f>D35</f>
        <v>399</v>
      </c>
      <c r="E49" s="264"/>
      <c r="F49" s="264"/>
    </row>
    <row r="50" spans="1:7" ht="21" customHeight="1" x14ac:dyDescent="0.2">
      <c r="C50" s="42" t="s">
        <v>41</v>
      </c>
      <c r="D50" s="264">
        <f>D37</f>
        <v>378</v>
      </c>
      <c r="E50" s="264"/>
      <c r="F50" s="264"/>
    </row>
    <row r="51" spans="1:7" ht="21" customHeight="1" x14ac:dyDescent="0.2">
      <c r="C51" s="42" t="s">
        <v>50</v>
      </c>
      <c r="D51" s="264">
        <f>D29</f>
        <v>274</v>
      </c>
      <c r="E51" s="264"/>
      <c r="F51" s="264"/>
    </row>
    <row r="55" spans="1:7" ht="15.75" x14ac:dyDescent="0.25">
      <c r="A55" s="265" t="s">
        <v>51</v>
      </c>
      <c r="B55" s="265"/>
      <c r="C55" s="265"/>
      <c r="D55" s="265"/>
      <c r="E55" s="265"/>
      <c r="F55" s="265"/>
    </row>
    <row r="56" spans="1:7" ht="15.75" x14ac:dyDescent="0.25">
      <c r="A56" s="265" t="s">
        <v>52</v>
      </c>
      <c r="B56" s="265"/>
      <c r="C56" s="265"/>
      <c r="D56" s="265"/>
      <c r="E56" s="265"/>
      <c r="F56" s="265"/>
    </row>
    <row r="57" spans="1:7" x14ac:dyDescent="0.2">
      <c r="A57" s="43" t="s">
        <v>53</v>
      </c>
      <c r="B57" s="231">
        <v>10</v>
      </c>
      <c r="C57" s="232">
        <f>$D$41*4</f>
        <v>24</v>
      </c>
      <c r="D57" s="232">
        <f t="shared" ref="D57:F57" si="0">$D$41*4</f>
        <v>24</v>
      </c>
      <c r="E57" s="232">
        <f t="shared" si="0"/>
        <v>24</v>
      </c>
      <c r="F57" s="233">
        <f t="shared" si="0"/>
        <v>24</v>
      </c>
      <c r="G57" s="45" t="s">
        <v>54</v>
      </c>
    </row>
    <row r="58" spans="1:7" x14ac:dyDescent="0.2">
      <c r="A58" s="43" t="s">
        <v>53</v>
      </c>
      <c r="B58" s="234">
        <v>10</v>
      </c>
      <c r="C58" s="235">
        <f>C57</f>
        <v>24</v>
      </c>
      <c r="D58" s="236">
        <f>D57</f>
        <v>24</v>
      </c>
      <c r="E58" s="236">
        <f>E57</f>
        <v>24</v>
      </c>
      <c r="F58" s="237">
        <f>ROUND(1.5*F57,0)</f>
        <v>36</v>
      </c>
      <c r="G58" s="45" t="s">
        <v>55</v>
      </c>
    </row>
    <row r="59" spans="1:7" x14ac:dyDescent="0.2">
      <c r="A59" s="43" t="s">
        <v>53</v>
      </c>
      <c r="B59" s="234">
        <v>8</v>
      </c>
      <c r="C59" s="235">
        <f>$D$41</f>
        <v>6</v>
      </c>
      <c r="D59" s="235">
        <f t="shared" ref="D59:F60" si="1">$D$41</f>
        <v>6</v>
      </c>
      <c r="E59" s="235">
        <f t="shared" si="1"/>
        <v>6</v>
      </c>
      <c r="F59" s="238">
        <f t="shared" si="1"/>
        <v>6</v>
      </c>
      <c r="G59" s="45" t="s">
        <v>56</v>
      </c>
    </row>
    <row r="60" spans="1:7" x14ac:dyDescent="0.2">
      <c r="A60" s="43" t="s">
        <v>53</v>
      </c>
      <c r="B60" s="239">
        <v>8</v>
      </c>
      <c r="C60" s="240">
        <f>C59</f>
        <v>6</v>
      </c>
      <c r="D60" s="240">
        <f t="shared" si="1"/>
        <v>6</v>
      </c>
      <c r="E60" s="240">
        <f t="shared" si="1"/>
        <v>6</v>
      </c>
      <c r="F60" s="241">
        <f>ROUND(1.5*F59,0)</f>
        <v>9</v>
      </c>
      <c r="G60" s="45" t="s">
        <v>57</v>
      </c>
    </row>
    <row r="61" spans="1:7" ht="15.75" x14ac:dyDescent="0.25">
      <c r="A61" s="263" t="s">
        <v>58</v>
      </c>
      <c r="B61" s="263"/>
      <c r="C61" s="263"/>
      <c r="D61" s="263"/>
      <c r="E61" s="263"/>
      <c r="F61" s="263"/>
      <c r="G61" s="45"/>
    </row>
    <row r="62" spans="1:7" x14ac:dyDescent="0.2">
      <c r="A62" s="43" t="s">
        <v>53</v>
      </c>
      <c r="B62" s="231">
        <v>10</v>
      </c>
      <c r="C62" s="232">
        <f>$D$41*4</f>
        <v>24</v>
      </c>
      <c r="D62" s="232">
        <f t="shared" ref="D62:F62" si="2">$D$41*4</f>
        <v>24</v>
      </c>
      <c r="E62" s="232">
        <f t="shared" si="2"/>
        <v>24</v>
      </c>
      <c r="F62" s="233">
        <f t="shared" si="2"/>
        <v>24</v>
      </c>
      <c r="G62" s="45" t="s">
        <v>54</v>
      </c>
    </row>
    <row r="63" spans="1:7" x14ac:dyDescent="0.2">
      <c r="A63" s="43" t="s">
        <v>53</v>
      </c>
      <c r="B63" s="234">
        <v>10</v>
      </c>
      <c r="C63" s="235">
        <f>C62</f>
        <v>24</v>
      </c>
      <c r="D63" s="236">
        <f>D62</f>
        <v>24</v>
      </c>
      <c r="E63" s="236">
        <f>E62</f>
        <v>24</v>
      </c>
      <c r="F63" s="237">
        <f>ROUND(1.5*F62,0)</f>
        <v>36</v>
      </c>
      <c r="G63" s="45" t="s">
        <v>55</v>
      </c>
    </row>
    <row r="64" spans="1:7" x14ac:dyDescent="0.2">
      <c r="A64" s="43" t="s">
        <v>53</v>
      </c>
      <c r="B64" s="234">
        <v>8</v>
      </c>
      <c r="C64" s="235">
        <f>$D$41</f>
        <v>6</v>
      </c>
      <c r="D64" s="235">
        <f t="shared" ref="D64:F65" si="3">$D$41</f>
        <v>6</v>
      </c>
      <c r="E64" s="235">
        <f t="shared" si="3"/>
        <v>6</v>
      </c>
      <c r="F64" s="238">
        <f t="shared" si="3"/>
        <v>6</v>
      </c>
      <c r="G64" s="45" t="s">
        <v>56</v>
      </c>
    </row>
    <row r="65" spans="1:7" x14ac:dyDescent="0.2">
      <c r="A65" s="43" t="s">
        <v>53</v>
      </c>
      <c r="B65" s="239">
        <v>8</v>
      </c>
      <c r="C65" s="240">
        <f>C64</f>
        <v>6</v>
      </c>
      <c r="D65" s="240">
        <f t="shared" si="3"/>
        <v>6</v>
      </c>
      <c r="E65" s="240">
        <f t="shared" si="3"/>
        <v>6</v>
      </c>
      <c r="F65" s="241">
        <f>ROUND(1.5*F64,0)</f>
        <v>9</v>
      </c>
      <c r="G65" s="45" t="s">
        <v>57</v>
      </c>
    </row>
    <row r="66" spans="1:7" x14ac:dyDescent="0.2">
      <c r="B66" s="22"/>
      <c r="C66" s="46"/>
      <c r="G66" s="45"/>
    </row>
    <row r="67" spans="1:7" ht="15.75" x14ac:dyDescent="0.25">
      <c r="A67" s="262" t="s">
        <v>59</v>
      </c>
      <c r="B67" s="262"/>
      <c r="C67" s="262"/>
      <c r="D67" s="262"/>
      <c r="E67" s="262"/>
      <c r="F67" s="262"/>
      <c r="G67" s="45"/>
    </row>
    <row r="68" spans="1:7" ht="15.75" x14ac:dyDescent="0.25">
      <c r="A68" s="263" t="s">
        <v>52</v>
      </c>
      <c r="B68" s="263"/>
      <c r="C68" s="263"/>
      <c r="D68" s="263"/>
      <c r="E68" s="263"/>
      <c r="F68" s="263"/>
      <c r="G68" s="45"/>
    </row>
    <row r="69" spans="1:7" x14ac:dyDescent="0.2">
      <c r="A69" s="43" t="s">
        <v>53</v>
      </c>
      <c r="B69" s="231">
        <v>10</v>
      </c>
      <c r="C69" s="232">
        <f>$D$41*2</f>
        <v>12</v>
      </c>
      <c r="D69" s="232">
        <f t="shared" ref="D69:F69" si="4">$D$41*2</f>
        <v>12</v>
      </c>
      <c r="E69" s="232">
        <f t="shared" si="4"/>
        <v>12</v>
      </c>
      <c r="F69" s="233">
        <f t="shared" si="4"/>
        <v>12</v>
      </c>
      <c r="G69" s="45" t="s">
        <v>54</v>
      </c>
    </row>
    <row r="70" spans="1:7" x14ac:dyDescent="0.2">
      <c r="A70" s="43" t="s">
        <v>53</v>
      </c>
      <c r="B70" s="234">
        <v>10</v>
      </c>
      <c r="C70" s="235">
        <f>C69</f>
        <v>12</v>
      </c>
      <c r="D70" s="236">
        <f>D69</f>
        <v>12</v>
      </c>
      <c r="E70" s="236">
        <f>E69</f>
        <v>12</v>
      </c>
      <c r="F70" s="237">
        <f>ROUND(1.5*F69,0)</f>
        <v>18</v>
      </c>
      <c r="G70" s="45" t="s">
        <v>55</v>
      </c>
    </row>
    <row r="71" spans="1:7" x14ac:dyDescent="0.2">
      <c r="A71" s="43" t="s">
        <v>53</v>
      </c>
      <c r="B71" s="234">
        <v>8</v>
      </c>
      <c r="C71" s="235">
        <f>$D$41</f>
        <v>6</v>
      </c>
      <c r="D71" s="235">
        <f t="shared" ref="D71:F72" si="5">$D$41</f>
        <v>6</v>
      </c>
      <c r="E71" s="235">
        <f t="shared" si="5"/>
        <v>6</v>
      </c>
      <c r="F71" s="238">
        <f t="shared" si="5"/>
        <v>6</v>
      </c>
      <c r="G71" s="45" t="s">
        <v>56</v>
      </c>
    </row>
    <row r="72" spans="1:7" x14ac:dyDescent="0.2">
      <c r="A72" s="43" t="s">
        <v>53</v>
      </c>
      <c r="B72" s="239">
        <v>8</v>
      </c>
      <c r="C72" s="240">
        <f>C71</f>
        <v>6</v>
      </c>
      <c r="D72" s="240">
        <f t="shared" si="5"/>
        <v>6</v>
      </c>
      <c r="E72" s="240">
        <f t="shared" si="5"/>
        <v>6</v>
      </c>
      <c r="F72" s="241">
        <f>ROUND(1.5*F71,0)</f>
        <v>9</v>
      </c>
      <c r="G72" s="45" t="s">
        <v>57</v>
      </c>
    </row>
    <row r="73" spans="1:7" ht="15.75" x14ac:dyDescent="0.25">
      <c r="A73" s="263" t="s">
        <v>58</v>
      </c>
      <c r="B73" s="263"/>
      <c r="C73" s="263"/>
      <c r="D73" s="263"/>
      <c r="E73" s="263"/>
      <c r="F73" s="263"/>
      <c r="G73" s="45"/>
    </row>
    <row r="74" spans="1:7" x14ac:dyDescent="0.2">
      <c r="A74" s="43" t="s">
        <v>53</v>
      </c>
      <c r="B74" s="231">
        <v>10</v>
      </c>
      <c r="C74" s="232">
        <f>$D$41*2</f>
        <v>12</v>
      </c>
      <c r="D74" s="232">
        <f t="shared" ref="D74:F74" si="6">$D$41*2</f>
        <v>12</v>
      </c>
      <c r="E74" s="232">
        <f t="shared" si="6"/>
        <v>12</v>
      </c>
      <c r="F74" s="233">
        <f t="shared" si="6"/>
        <v>12</v>
      </c>
      <c r="G74" s="45" t="s">
        <v>54</v>
      </c>
    </row>
    <row r="75" spans="1:7" x14ac:dyDescent="0.2">
      <c r="A75" s="43" t="s">
        <v>53</v>
      </c>
      <c r="B75" s="234">
        <v>10</v>
      </c>
      <c r="C75" s="235">
        <f>C74</f>
        <v>12</v>
      </c>
      <c r="D75" s="236">
        <f>D74</f>
        <v>12</v>
      </c>
      <c r="E75" s="236">
        <f>E74</f>
        <v>12</v>
      </c>
      <c r="F75" s="237">
        <f>ROUND(1.5*F74,0)</f>
        <v>18</v>
      </c>
      <c r="G75" s="45" t="s">
        <v>55</v>
      </c>
    </row>
    <row r="76" spans="1:7" x14ac:dyDescent="0.2">
      <c r="A76" s="43" t="s">
        <v>53</v>
      </c>
      <c r="B76" s="234">
        <v>8</v>
      </c>
      <c r="C76" s="235">
        <f>$D$41</f>
        <v>6</v>
      </c>
      <c r="D76" s="235">
        <f t="shared" ref="D76:F77" si="7">$D$41</f>
        <v>6</v>
      </c>
      <c r="E76" s="235">
        <f t="shared" si="7"/>
        <v>6</v>
      </c>
      <c r="F76" s="238">
        <f t="shared" si="7"/>
        <v>6</v>
      </c>
      <c r="G76" s="45" t="s">
        <v>56</v>
      </c>
    </row>
    <row r="77" spans="1:7" x14ac:dyDescent="0.2">
      <c r="A77" s="43" t="s">
        <v>53</v>
      </c>
      <c r="B77" s="239">
        <v>8</v>
      </c>
      <c r="C77" s="240">
        <f>C76</f>
        <v>6</v>
      </c>
      <c r="D77" s="240">
        <f t="shared" si="7"/>
        <v>6</v>
      </c>
      <c r="E77" s="240">
        <f t="shared" si="7"/>
        <v>6</v>
      </c>
      <c r="F77" s="241">
        <f>ROUND(1.5*F76,0)</f>
        <v>9</v>
      </c>
      <c r="G77" s="45" t="s">
        <v>57</v>
      </c>
    </row>
  </sheetData>
  <protectedRanges>
    <protectedRange sqref="D13:F13" name="Range5"/>
    <protectedRange sqref="E14:E17" name="Range3"/>
    <protectedRange sqref="D10" name="Range2"/>
    <protectedRange sqref="D5:F7" name="Range1"/>
    <protectedRange sqref="C2:F2" name="Range4"/>
  </protectedRanges>
  <mergeCells count="47">
    <mergeCell ref="C2:F2"/>
    <mergeCell ref="D4:F4"/>
    <mergeCell ref="B5:B8"/>
    <mergeCell ref="D5:F5"/>
    <mergeCell ref="G5:G7"/>
    <mergeCell ref="D6:F6"/>
    <mergeCell ref="D7:F7"/>
    <mergeCell ref="D8:F8"/>
    <mergeCell ref="C18:G18"/>
    <mergeCell ref="B9:B11"/>
    <mergeCell ref="D10:F10"/>
    <mergeCell ref="G10:G12"/>
    <mergeCell ref="B12:B17"/>
    <mergeCell ref="D13:F13"/>
    <mergeCell ref="G14:G15"/>
    <mergeCell ref="G16:G17"/>
    <mergeCell ref="D31:F31"/>
    <mergeCell ref="D20:F20"/>
    <mergeCell ref="D21:F21"/>
    <mergeCell ref="D24:F24"/>
    <mergeCell ref="D25:F25"/>
    <mergeCell ref="D26:F26"/>
    <mergeCell ref="D27:F27"/>
    <mergeCell ref="D28:F28"/>
    <mergeCell ref="D29:F29"/>
    <mergeCell ref="D30:F30"/>
    <mergeCell ref="D48:F48"/>
    <mergeCell ref="D32:F32"/>
    <mergeCell ref="D33:F33"/>
    <mergeCell ref="D34:F34"/>
    <mergeCell ref="D35:F35"/>
    <mergeCell ref="D37:F37"/>
    <mergeCell ref="D40:F40"/>
    <mergeCell ref="D41:F41"/>
    <mergeCell ref="D42:F42"/>
    <mergeCell ref="D45:F45"/>
    <mergeCell ref="D46:F46"/>
    <mergeCell ref="D47:F47"/>
    <mergeCell ref="A67:F67"/>
    <mergeCell ref="A68:F68"/>
    <mergeCell ref="A73:F73"/>
    <mergeCell ref="D49:F49"/>
    <mergeCell ref="D50:F50"/>
    <mergeCell ref="D51:F51"/>
    <mergeCell ref="A55:F55"/>
    <mergeCell ref="A56:F56"/>
    <mergeCell ref="A61:F61"/>
  </mergeCells>
  <pageMargins left="0.7" right="0.7" top="0.75" bottom="0.75" header="0.3" footer="0.3"/>
  <pageSetup scale="40" fitToHeight="0" orientation="portrait" r:id="rId1"/>
  <headerFooter>
    <oddFooter xml:space="preserve">&amp;L80-NN841-1 A
&amp;CMAY CONTAIN U.S. AND INTERNATIONAL EXPORT CONTROLLED INFORMATION&amp;RConfidential and Proprietary – Qualcomm Technologies, Inc.
 </oddFooter>
  </headerFooter>
  <rowBreaks count="1" manualBreakCount="1">
    <brk id="5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K79"/>
  <sheetViews>
    <sheetView zoomScaleNormal="100" workbookViewId="0"/>
  </sheetViews>
  <sheetFormatPr defaultRowHeight="12.75" x14ac:dyDescent="0.2"/>
  <cols>
    <col min="1" max="1" width="9.140625" style="47"/>
    <col min="2" max="2" width="15" style="47" bestFit="1" customWidth="1"/>
    <col min="3" max="3" width="20.42578125" style="47" customWidth="1"/>
    <col min="4" max="4" width="10.140625" style="47" bestFit="1" customWidth="1"/>
    <col min="5" max="5" width="16.85546875" style="47" bestFit="1" customWidth="1"/>
    <col min="6" max="6" width="12.5703125" style="47" bestFit="1" customWidth="1"/>
    <col min="7" max="7" width="33.5703125" style="47" customWidth="1"/>
    <col min="8" max="8" width="27.5703125" style="47" customWidth="1"/>
    <col min="9" max="9" width="48.7109375" style="47" customWidth="1"/>
    <col min="10" max="12" width="9.140625" style="47"/>
    <col min="13" max="13" width="28.140625" style="47" customWidth="1"/>
    <col min="14" max="16384" width="9.140625" style="47"/>
  </cols>
  <sheetData>
    <row r="1" spans="2:10" ht="13.5" thickBot="1" x14ac:dyDescent="0.25"/>
    <row r="2" spans="2:10" ht="15.75" thickBot="1" x14ac:dyDescent="0.3">
      <c r="B2" s="308" t="s">
        <v>60</v>
      </c>
      <c r="C2" s="311"/>
      <c r="D2" s="312"/>
      <c r="E2" s="302" t="s">
        <v>61</v>
      </c>
      <c r="F2" s="303"/>
      <c r="G2" s="302"/>
      <c r="H2" s="303"/>
      <c r="I2" s="302"/>
      <c r="J2" s="303"/>
    </row>
    <row r="3" spans="2:10" ht="15.75" thickBot="1" x14ac:dyDescent="0.3">
      <c r="B3" s="309"/>
      <c r="C3" s="48" t="s">
        <v>62</v>
      </c>
      <c r="D3" s="49">
        <v>3.82</v>
      </c>
      <c r="E3" s="50" t="s">
        <v>63</v>
      </c>
      <c r="F3" s="51" t="s">
        <v>64</v>
      </c>
      <c r="G3" s="52" t="s">
        <v>65</v>
      </c>
      <c r="H3" s="49">
        <f>Customer_sheet_unidirectional!D20</f>
        <v>140</v>
      </c>
      <c r="I3" s="53" t="s">
        <v>66</v>
      </c>
      <c r="J3" s="54">
        <f>0.1*D$3*D$6/(D$6-D$3*0.1)*10000-D$3*1000</f>
        <v>4.9343991776231633</v>
      </c>
    </row>
    <row r="4" spans="2:10" ht="15.75" thickBot="1" x14ac:dyDescent="0.3">
      <c r="B4" s="309"/>
      <c r="C4" s="48" t="s">
        <v>9</v>
      </c>
      <c r="D4" s="49">
        <v>2.2000000000000002</v>
      </c>
      <c r="E4" s="50" t="s">
        <v>67</v>
      </c>
      <c r="F4" s="51" t="s">
        <v>68</v>
      </c>
      <c r="G4" s="52" t="s">
        <v>69</v>
      </c>
      <c r="H4" s="49">
        <f>Customer_sheet_unidirectional!D21</f>
        <v>400</v>
      </c>
      <c r="I4" s="53" t="s">
        <v>70</v>
      </c>
      <c r="J4" s="55">
        <f>_xlfn.FLOOR.PRECISE(J3/F5/F6,1)</f>
        <v>6</v>
      </c>
    </row>
    <row r="5" spans="2:10" ht="15.75" thickBot="1" x14ac:dyDescent="0.3">
      <c r="B5" s="309"/>
      <c r="C5" s="48" t="s">
        <v>71</v>
      </c>
      <c r="D5" s="49">
        <v>1.1200000000000001</v>
      </c>
      <c r="E5" s="50" t="s">
        <v>72</v>
      </c>
      <c r="F5" s="56">
        <v>0.72</v>
      </c>
      <c r="G5" s="53" t="s">
        <v>49</v>
      </c>
      <c r="H5" s="57">
        <f>H4-1</f>
        <v>399</v>
      </c>
      <c r="I5" s="53" t="s">
        <v>73</v>
      </c>
      <c r="J5" s="58">
        <f>4*J4</f>
        <v>24</v>
      </c>
    </row>
    <row r="6" spans="2:10" ht="15.75" thickBot="1" x14ac:dyDescent="0.3">
      <c r="B6" s="310"/>
      <c r="C6" s="59" t="s">
        <v>74</v>
      </c>
      <c r="D6" s="60">
        <f>ROUND(D3^2/(D4*((2*D5))),4)*100</f>
        <v>296.11</v>
      </c>
      <c r="E6" s="59" t="s">
        <v>44</v>
      </c>
      <c r="F6" s="57">
        <v>1</v>
      </c>
      <c r="G6" s="53" t="s">
        <v>75</v>
      </c>
      <c r="H6" s="54"/>
      <c r="I6" s="53" t="s">
        <v>76</v>
      </c>
      <c r="J6" s="58">
        <f>ROUND(J5*1.5,0)</f>
        <v>36</v>
      </c>
    </row>
    <row r="15" spans="2:10" x14ac:dyDescent="0.2">
      <c r="G15" s="61"/>
    </row>
    <row r="17" spans="2:11" ht="15.75" thickBot="1" x14ac:dyDescent="0.3">
      <c r="C17" s="62" t="s">
        <v>77</v>
      </c>
      <c r="D17" s="62"/>
      <c r="E17" s="62"/>
    </row>
    <row r="18" spans="2:11" ht="15" x14ac:dyDescent="0.25">
      <c r="B18" s="63" t="s">
        <v>78</v>
      </c>
      <c r="C18" s="64" t="s">
        <v>79</v>
      </c>
      <c r="D18" s="304" t="s">
        <v>80</v>
      </c>
      <c r="E18" s="305"/>
      <c r="F18" s="306" t="s">
        <v>81</v>
      </c>
      <c r="G18" s="306" t="s">
        <v>82</v>
      </c>
    </row>
    <row r="19" spans="2:11" ht="26.25" thickBot="1" x14ac:dyDescent="0.4">
      <c r="B19" s="65" t="s">
        <v>83</v>
      </c>
      <c r="C19" s="66" t="s">
        <v>84</v>
      </c>
      <c r="D19" s="67" t="s">
        <v>85</v>
      </c>
      <c r="E19" s="68" t="s">
        <v>86</v>
      </c>
      <c r="F19" s="307"/>
      <c r="G19" s="307"/>
      <c r="I19" s="69" t="s">
        <v>87</v>
      </c>
      <c r="K19" s="70">
        <f>IF(H6=0,H5,H6)</f>
        <v>399</v>
      </c>
    </row>
    <row r="20" spans="2:11" ht="25.5" x14ac:dyDescent="0.35">
      <c r="B20" s="71">
        <v>7</v>
      </c>
      <c r="C20" s="72">
        <f t="shared" ref="C20:C77" si="0">$D$3^2/(B20*10-$D$3)*1000</f>
        <v>220.4956180114838</v>
      </c>
      <c r="D20" s="73">
        <f t="shared" ref="D20:D77" si="1">ROUND(MID($D$6,1,6)*B20/(MID($D$6,1,6)+(B20-$D$3*0.1)),2)</f>
        <v>6.85</v>
      </c>
      <c r="E20" s="74">
        <f t="shared" ref="E20:E77" si="2">ROUND(MID($D$6,1,6)*B20/(MID($D$6,1,6)-(B20-$D$3*0.1)),2)</f>
        <v>7.16</v>
      </c>
      <c r="F20" s="75">
        <f>ROUND($F$23+(C20-$C$23)/$F$5,0)</f>
        <v>468</v>
      </c>
      <c r="G20" s="76">
        <f>H$5-(F20-H$3)</f>
        <v>71</v>
      </c>
      <c r="I20" s="69" t="s">
        <v>88</v>
      </c>
      <c r="K20" s="70">
        <f>G39</f>
        <v>361</v>
      </c>
    </row>
    <row r="21" spans="2:11" ht="25.5" x14ac:dyDescent="0.35">
      <c r="B21" s="77">
        <v>8</v>
      </c>
      <c r="C21" s="78">
        <f t="shared" si="0"/>
        <v>191.55158834339719</v>
      </c>
      <c r="D21" s="79">
        <f t="shared" si="1"/>
        <v>7.8</v>
      </c>
      <c r="E21" s="80">
        <f t="shared" si="2"/>
        <v>8.2100000000000009</v>
      </c>
      <c r="F21" s="75">
        <f t="shared" ref="F21:F22" si="3">ROUND($F$23+(C21-$C$23)/$F$5,0)</f>
        <v>427</v>
      </c>
      <c r="G21" s="76">
        <f t="shared" ref="G21:G79" si="4">H$5-(F21-H$3)</f>
        <v>112</v>
      </c>
      <c r="I21" s="69" t="s">
        <v>89</v>
      </c>
      <c r="K21" s="70">
        <f>G33</f>
        <v>344</v>
      </c>
    </row>
    <row r="22" spans="2:11" ht="25.5" x14ac:dyDescent="0.35">
      <c r="B22" s="81">
        <v>9</v>
      </c>
      <c r="C22" s="82">
        <f t="shared" si="0"/>
        <v>169.32466929682059</v>
      </c>
      <c r="D22" s="83">
        <f t="shared" si="1"/>
        <v>8.75</v>
      </c>
      <c r="E22" s="84">
        <f t="shared" si="2"/>
        <v>9.27</v>
      </c>
      <c r="F22" s="75">
        <f t="shared" si="3"/>
        <v>396</v>
      </c>
      <c r="G22" s="76">
        <f t="shared" si="4"/>
        <v>143</v>
      </c>
      <c r="I22" s="69" t="s">
        <v>90</v>
      </c>
      <c r="K22" s="70">
        <f>G32</f>
        <v>337</v>
      </c>
    </row>
    <row r="23" spans="2:11" ht="25.5" x14ac:dyDescent="0.35">
      <c r="B23" s="85">
        <v>10</v>
      </c>
      <c r="C23" s="86">
        <f t="shared" si="0"/>
        <v>151.71969224370972</v>
      </c>
      <c r="D23" s="87">
        <f t="shared" si="1"/>
        <v>9.69</v>
      </c>
      <c r="E23" s="88">
        <f t="shared" si="2"/>
        <v>10.34</v>
      </c>
      <c r="F23" s="89">
        <f>Customer_sheet_unidirectional!E16</f>
        <v>372</v>
      </c>
      <c r="G23" s="90">
        <f t="shared" si="4"/>
        <v>167</v>
      </c>
      <c r="I23" s="69" t="s">
        <v>91</v>
      </c>
      <c r="K23" s="70">
        <f>G31</f>
        <v>327</v>
      </c>
    </row>
    <row r="24" spans="2:11" ht="25.5" x14ac:dyDescent="0.35">
      <c r="B24" s="81">
        <v>11</v>
      </c>
      <c r="C24" s="91">
        <f t="shared" si="0"/>
        <v>137.43077792427951</v>
      </c>
      <c r="D24" s="83">
        <f t="shared" si="1"/>
        <v>10.62</v>
      </c>
      <c r="E24" s="84">
        <f t="shared" si="2"/>
        <v>11.41</v>
      </c>
      <c r="F24" s="75">
        <f>ROUND($F$23+(C24-$C$23)/$F$5,0)</f>
        <v>352</v>
      </c>
      <c r="G24" s="76">
        <f t="shared" si="4"/>
        <v>187</v>
      </c>
      <c r="I24" s="69" t="s">
        <v>92</v>
      </c>
      <c r="K24" s="70">
        <f>G30</f>
        <v>309</v>
      </c>
    </row>
    <row r="25" spans="2:11" ht="25.5" x14ac:dyDescent="0.35">
      <c r="B25" s="81">
        <v>12</v>
      </c>
      <c r="C25" s="91">
        <f t="shared" si="0"/>
        <v>125.60165260802204</v>
      </c>
      <c r="D25" s="83">
        <f t="shared" si="1"/>
        <v>11.55</v>
      </c>
      <c r="E25" s="84">
        <f t="shared" si="2"/>
        <v>12.49</v>
      </c>
      <c r="F25" s="75">
        <f t="shared" ref="F25:F79" si="5">ROUND($F$23+(C25-$C$23)/$F$5,0)</f>
        <v>336</v>
      </c>
      <c r="G25" s="76">
        <f t="shared" si="4"/>
        <v>203</v>
      </c>
      <c r="I25" s="69" t="s">
        <v>93</v>
      </c>
      <c r="K25" s="70">
        <f>G29</f>
        <v>274</v>
      </c>
    </row>
    <row r="26" spans="2:11" ht="25.5" x14ac:dyDescent="0.35">
      <c r="B26" s="81">
        <v>13</v>
      </c>
      <c r="C26" s="91">
        <f t="shared" si="0"/>
        <v>115.6474877159613</v>
      </c>
      <c r="D26" s="83">
        <f t="shared" si="1"/>
        <v>12.47</v>
      </c>
      <c r="E26" s="84">
        <f t="shared" si="2"/>
        <v>13.58</v>
      </c>
      <c r="F26" s="75">
        <f t="shared" si="5"/>
        <v>322</v>
      </c>
      <c r="G26" s="76">
        <f t="shared" si="4"/>
        <v>217</v>
      </c>
      <c r="I26" s="69" t="s">
        <v>94</v>
      </c>
      <c r="K26" s="70">
        <f>G27</f>
        <v>229</v>
      </c>
    </row>
    <row r="27" spans="2:11" ht="25.5" x14ac:dyDescent="0.35">
      <c r="B27" s="81">
        <v>14</v>
      </c>
      <c r="C27" s="91">
        <f t="shared" si="0"/>
        <v>107.15523571743279</v>
      </c>
      <c r="D27" s="83">
        <f t="shared" si="1"/>
        <v>13.38</v>
      </c>
      <c r="E27" s="84">
        <f t="shared" si="2"/>
        <v>14.67</v>
      </c>
      <c r="F27" s="75">
        <f t="shared" si="5"/>
        <v>310</v>
      </c>
      <c r="G27" s="76">
        <f t="shared" si="4"/>
        <v>229</v>
      </c>
      <c r="I27" s="69" t="s">
        <v>95</v>
      </c>
      <c r="K27" s="70">
        <f>G23</f>
        <v>167</v>
      </c>
    </row>
    <row r="28" spans="2:11" ht="25.5" x14ac:dyDescent="0.35">
      <c r="B28" s="81">
        <v>15</v>
      </c>
      <c r="C28" s="91">
        <f t="shared" si="0"/>
        <v>99.824873443699545</v>
      </c>
      <c r="D28" s="83">
        <f t="shared" si="1"/>
        <v>14.29</v>
      </c>
      <c r="E28" s="84">
        <f t="shared" si="2"/>
        <v>15.78</v>
      </c>
      <c r="F28" s="75">
        <f t="shared" si="5"/>
        <v>300</v>
      </c>
      <c r="G28" s="76">
        <f t="shared" si="4"/>
        <v>239</v>
      </c>
      <c r="I28" s="69" t="s">
        <v>96</v>
      </c>
      <c r="K28" s="70">
        <f>G22</f>
        <v>143</v>
      </c>
    </row>
    <row r="29" spans="2:11" ht="25.5" x14ac:dyDescent="0.35">
      <c r="B29" s="81">
        <v>20</v>
      </c>
      <c r="C29" s="92">
        <f t="shared" si="0"/>
        <v>74.382709756346216</v>
      </c>
      <c r="D29" s="83">
        <f t="shared" si="1"/>
        <v>18.760000000000002</v>
      </c>
      <c r="E29" s="84">
        <f t="shared" si="2"/>
        <v>21.42</v>
      </c>
      <c r="F29" s="75">
        <f t="shared" si="5"/>
        <v>265</v>
      </c>
      <c r="G29" s="76">
        <f t="shared" si="4"/>
        <v>274</v>
      </c>
      <c r="I29" s="69" t="s">
        <v>97</v>
      </c>
      <c r="K29" s="70">
        <f>G22</f>
        <v>143</v>
      </c>
    </row>
    <row r="30" spans="2:11" ht="15" x14ac:dyDescent="0.25">
      <c r="B30" s="81">
        <v>30</v>
      </c>
      <c r="C30" s="93">
        <f t="shared" si="0"/>
        <v>49.268687960024309</v>
      </c>
      <c r="D30" s="83">
        <f t="shared" si="1"/>
        <v>27.27</v>
      </c>
      <c r="E30" s="84">
        <f t="shared" si="2"/>
        <v>33.33</v>
      </c>
      <c r="F30" s="75">
        <f t="shared" si="5"/>
        <v>230</v>
      </c>
      <c r="G30" s="76">
        <f t="shared" si="4"/>
        <v>309</v>
      </c>
      <c r="K30" s="61"/>
    </row>
    <row r="31" spans="2:11" ht="25.5" x14ac:dyDescent="0.35">
      <c r="B31" s="94">
        <v>40</v>
      </c>
      <c r="C31" s="91">
        <f t="shared" si="0"/>
        <v>36.832752789136251</v>
      </c>
      <c r="D31" s="95">
        <f t="shared" si="1"/>
        <v>35.28</v>
      </c>
      <c r="E31" s="96">
        <f t="shared" si="2"/>
        <v>46.18</v>
      </c>
      <c r="F31" s="75">
        <f t="shared" si="5"/>
        <v>212</v>
      </c>
      <c r="G31" s="76">
        <f t="shared" si="4"/>
        <v>327</v>
      </c>
      <c r="I31" s="69"/>
      <c r="K31" s="61"/>
    </row>
    <row r="32" spans="2:11" ht="25.5" x14ac:dyDescent="0.35">
      <c r="B32" s="81">
        <v>50</v>
      </c>
      <c r="C32" s="93">
        <f t="shared" si="0"/>
        <v>29.409488492079486</v>
      </c>
      <c r="D32" s="83">
        <f t="shared" si="1"/>
        <v>42.82</v>
      </c>
      <c r="E32" s="84">
        <f t="shared" si="2"/>
        <v>60.06</v>
      </c>
      <c r="F32" s="75">
        <f t="shared" si="5"/>
        <v>202</v>
      </c>
      <c r="G32" s="76">
        <f t="shared" si="4"/>
        <v>337</v>
      </c>
      <c r="I32" s="69" t="s">
        <v>45</v>
      </c>
      <c r="K32" s="70">
        <v>0</v>
      </c>
    </row>
    <row r="33" spans="2:11" ht="25.5" x14ac:dyDescent="0.35">
      <c r="B33" s="94">
        <f t="shared" ref="B33:B77" si="6">B32+10</f>
        <v>60</v>
      </c>
      <c r="C33" s="97">
        <f t="shared" si="0"/>
        <v>24.476500385789528</v>
      </c>
      <c r="D33" s="95">
        <f t="shared" si="1"/>
        <v>49.94</v>
      </c>
      <c r="E33" s="96">
        <f t="shared" si="2"/>
        <v>75.13</v>
      </c>
      <c r="F33" s="75">
        <f t="shared" si="5"/>
        <v>195</v>
      </c>
      <c r="G33" s="76">
        <f t="shared" si="4"/>
        <v>344</v>
      </c>
      <c r="I33" s="69" t="s">
        <v>46</v>
      </c>
      <c r="K33" s="70">
        <f>G23</f>
        <v>167</v>
      </c>
    </row>
    <row r="34" spans="2:11" ht="25.5" x14ac:dyDescent="0.35">
      <c r="B34" s="81">
        <f t="shared" si="6"/>
        <v>70</v>
      </c>
      <c r="C34" s="82">
        <f t="shared" si="0"/>
        <v>20.96067109080985</v>
      </c>
      <c r="D34" s="83">
        <f t="shared" si="1"/>
        <v>56.68</v>
      </c>
      <c r="E34" s="84">
        <f t="shared" si="2"/>
        <v>91.52</v>
      </c>
      <c r="F34" s="75">
        <f t="shared" si="5"/>
        <v>190</v>
      </c>
      <c r="G34" s="76">
        <f t="shared" si="4"/>
        <v>349</v>
      </c>
      <c r="I34" s="69" t="s">
        <v>47</v>
      </c>
      <c r="K34" s="70">
        <f>G32</f>
        <v>337</v>
      </c>
    </row>
    <row r="35" spans="2:11" ht="25.5" x14ac:dyDescent="0.35">
      <c r="B35" s="98">
        <f t="shared" si="6"/>
        <v>80</v>
      </c>
      <c r="C35" s="99">
        <f t="shared" si="0"/>
        <v>18.328016277726142</v>
      </c>
      <c r="D35" s="100">
        <f t="shared" si="1"/>
        <v>63.05</v>
      </c>
      <c r="E35" s="101">
        <f t="shared" si="2"/>
        <v>109.42</v>
      </c>
      <c r="F35" s="75">
        <f t="shared" si="5"/>
        <v>187</v>
      </c>
      <c r="G35" s="76">
        <f t="shared" si="4"/>
        <v>352</v>
      </c>
      <c r="I35" s="69" t="s">
        <v>48</v>
      </c>
      <c r="K35" s="70">
        <f>G39</f>
        <v>361</v>
      </c>
    </row>
    <row r="36" spans="2:11" ht="25.5" x14ac:dyDescent="0.35">
      <c r="B36" s="81">
        <f t="shared" si="6"/>
        <v>90</v>
      </c>
      <c r="C36" s="82">
        <f t="shared" si="0"/>
        <v>16.282889598071815</v>
      </c>
      <c r="D36" s="83">
        <f t="shared" si="1"/>
        <v>69.09</v>
      </c>
      <c r="E36" s="84">
        <f t="shared" si="2"/>
        <v>129.06</v>
      </c>
      <c r="F36" s="75">
        <f t="shared" si="5"/>
        <v>184</v>
      </c>
      <c r="G36" s="76">
        <f t="shared" si="4"/>
        <v>355</v>
      </c>
      <c r="I36" s="69" t="s">
        <v>49</v>
      </c>
      <c r="K36" s="70">
        <f>H5</f>
        <v>399</v>
      </c>
    </row>
    <row r="37" spans="2:11" ht="25.5" x14ac:dyDescent="0.35">
      <c r="B37" s="94">
        <f t="shared" si="6"/>
        <v>100</v>
      </c>
      <c r="C37" s="102">
        <f t="shared" si="0"/>
        <v>14.64835672268064</v>
      </c>
      <c r="D37" s="95">
        <f t="shared" si="1"/>
        <v>74.83</v>
      </c>
      <c r="E37" s="96">
        <f t="shared" si="2"/>
        <v>150.69999999999999</v>
      </c>
      <c r="F37" s="75">
        <f t="shared" si="5"/>
        <v>182</v>
      </c>
      <c r="G37" s="76">
        <f t="shared" si="4"/>
        <v>357</v>
      </c>
      <c r="I37" s="69" t="s">
        <v>41</v>
      </c>
      <c r="K37" s="70">
        <f>G78</f>
        <v>378</v>
      </c>
    </row>
    <row r="38" spans="2:11" ht="25.5" x14ac:dyDescent="0.35">
      <c r="B38" s="81">
        <f t="shared" si="6"/>
        <v>110</v>
      </c>
      <c r="C38" s="82">
        <f t="shared" si="0"/>
        <v>13.31204729150322</v>
      </c>
      <c r="D38" s="83">
        <f t="shared" si="1"/>
        <v>80.28</v>
      </c>
      <c r="E38" s="84">
        <f t="shared" si="2"/>
        <v>174.66</v>
      </c>
      <c r="F38" s="75">
        <f t="shared" si="5"/>
        <v>180</v>
      </c>
      <c r="G38" s="76">
        <f t="shared" si="4"/>
        <v>359</v>
      </c>
      <c r="I38" s="69" t="s">
        <v>50</v>
      </c>
      <c r="K38" s="70">
        <f>G29</f>
        <v>274</v>
      </c>
    </row>
    <row r="39" spans="2:11" ht="15" x14ac:dyDescent="0.25">
      <c r="B39" s="94">
        <f t="shared" si="6"/>
        <v>120</v>
      </c>
      <c r="C39" s="102">
        <f t="shared" si="0"/>
        <v>12.199167349395575</v>
      </c>
      <c r="D39" s="95">
        <f t="shared" si="1"/>
        <v>85.47</v>
      </c>
      <c r="E39" s="96">
        <f t="shared" si="2"/>
        <v>201.33</v>
      </c>
      <c r="F39" s="75">
        <f t="shared" si="5"/>
        <v>178</v>
      </c>
      <c r="G39" s="76">
        <f t="shared" si="4"/>
        <v>361</v>
      </c>
    </row>
    <row r="40" spans="2:11" ht="15" x14ac:dyDescent="0.25">
      <c r="B40" s="81">
        <f t="shared" si="6"/>
        <v>130</v>
      </c>
      <c r="C40" s="82">
        <f t="shared" si="0"/>
        <v>11.258004289527689</v>
      </c>
      <c r="D40" s="83">
        <f t="shared" si="1"/>
        <v>90.42</v>
      </c>
      <c r="E40" s="84">
        <f t="shared" si="2"/>
        <v>231.21</v>
      </c>
      <c r="F40" s="75">
        <f t="shared" si="5"/>
        <v>177</v>
      </c>
      <c r="G40" s="76">
        <f t="shared" si="4"/>
        <v>362</v>
      </c>
    </row>
    <row r="41" spans="2:11" ht="15" x14ac:dyDescent="0.25">
      <c r="B41" s="81">
        <f t="shared" si="6"/>
        <v>140</v>
      </c>
      <c r="C41" s="82">
        <f t="shared" si="0"/>
        <v>10.451660960621123</v>
      </c>
      <c r="D41" s="83">
        <f t="shared" si="1"/>
        <v>95.14</v>
      </c>
      <c r="E41" s="84">
        <f t="shared" si="2"/>
        <v>264.89999999999998</v>
      </c>
      <c r="F41" s="75">
        <f t="shared" si="5"/>
        <v>176</v>
      </c>
      <c r="G41" s="76">
        <f t="shared" si="4"/>
        <v>363</v>
      </c>
    </row>
    <row r="42" spans="2:11" ht="15" x14ac:dyDescent="0.25">
      <c r="B42" s="81">
        <f t="shared" si="6"/>
        <v>150</v>
      </c>
      <c r="C42" s="82">
        <f t="shared" si="0"/>
        <v>9.7531045729791863</v>
      </c>
      <c r="D42" s="83">
        <f t="shared" si="1"/>
        <v>99.65</v>
      </c>
      <c r="E42" s="84">
        <f t="shared" si="2"/>
        <v>303.2</v>
      </c>
      <c r="F42" s="75">
        <f t="shared" si="5"/>
        <v>175</v>
      </c>
      <c r="G42" s="76">
        <f t="shared" si="4"/>
        <v>364</v>
      </c>
    </row>
    <row r="43" spans="2:11" ht="15" x14ac:dyDescent="0.25">
      <c r="B43" s="81">
        <f t="shared" si="6"/>
        <v>160</v>
      </c>
      <c r="C43" s="82">
        <f t="shared" si="0"/>
        <v>9.1420767081406851</v>
      </c>
      <c r="D43" s="83">
        <f t="shared" si="1"/>
        <v>103.96</v>
      </c>
      <c r="E43" s="84">
        <f t="shared" si="2"/>
        <v>347.11</v>
      </c>
      <c r="F43" s="75">
        <f t="shared" si="5"/>
        <v>174</v>
      </c>
      <c r="G43" s="76">
        <f t="shared" si="4"/>
        <v>365</v>
      </c>
    </row>
    <row r="44" spans="2:11" ht="15" x14ac:dyDescent="0.25">
      <c r="B44" s="81">
        <f t="shared" si="6"/>
        <v>170</v>
      </c>
      <c r="C44" s="82">
        <f t="shared" si="0"/>
        <v>8.6030963694890854</v>
      </c>
      <c r="D44" s="83">
        <f t="shared" si="1"/>
        <v>108.09</v>
      </c>
      <c r="E44" s="84">
        <f t="shared" si="2"/>
        <v>397.96</v>
      </c>
      <c r="F44" s="75">
        <f t="shared" si="5"/>
        <v>173</v>
      </c>
      <c r="G44" s="76">
        <f t="shared" si="4"/>
        <v>366</v>
      </c>
    </row>
    <row r="45" spans="2:11" ht="15" x14ac:dyDescent="0.25">
      <c r="B45" s="81">
        <f t="shared" si="6"/>
        <v>180</v>
      </c>
      <c r="C45" s="82">
        <f t="shared" si="0"/>
        <v>8.1241300983197675</v>
      </c>
      <c r="D45" s="83">
        <f t="shared" si="1"/>
        <v>112.04</v>
      </c>
      <c r="E45" s="84">
        <f t="shared" si="2"/>
        <v>457.54</v>
      </c>
      <c r="F45" s="75">
        <f t="shared" si="5"/>
        <v>173</v>
      </c>
      <c r="G45" s="76">
        <f t="shared" si="4"/>
        <v>366</v>
      </c>
    </row>
    <row r="46" spans="2:11" ht="15" x14ac:dyDescent="0.25">
      <c r="B46" s="81">
        <f t="shared" si="6"/>
        <v>190</v>
      </c>
      <c r="C46" s="82">
        <f t="shared" si="0"/>
        <v>7.6956828993028079</v>
      </c>
      <c r="D46" s="83">
        <f t="shared" si="1"/>
        <v>115.83</v>
      </c>
      <c r="E46" s="84">
        <f t="shared" si="2"/>
        <v>528.30999999999995</v>
      </c>
      <c r="F46" s="75">
        <f t="shared" si="5"/>
        <v>172</v>
      </c>
      <c r="G46" s="76">
        <f t="shared" si="4"/>
        <v>367</v>
      </c>
    </row>
    <row r="47" spans="2:11" ht="15" x14ac:dyDescent="0.25">
      <c r="B47" s="81">
        <f t="shared" si="6"/>
        <v>200</v>
      </c>
      <c r="C47" s="82">
        <f t="shared" si="0"/>
        <v>7.310162410203489</v>
      </c>
      <c r="D47" s="83">
        <f t="shared" si="1"/>
        <v>119.46</v>
      </c>
      <c r="E47" s="84">
        <f t="shared" si="2"/>
        <v>613.75</v>
      </c>
      <c r="F47" s="75">
        <f t="shared" si="5"/>
        <v>171</v>
      </c>
      <c r="G47" s="76">
        <f t="shared" si="4"/>
        <v>368</v>
      </c>
    </row>
    <row r="48" spans="2:11" ht="15" x14ac:dyDescent="0.25">
      <c r="B48" s="81">
        <f t="shared" si="6"/>
        <v>210</v>
      </c>
      <c r="C48" s="82">
        <f t="shared" si="0"/>
        <v>6.9614250684578618</v>
      </c>
      <c r="D48" s="83">
        <f t="shared" si="1"/>
        <v>122.96</v>
      </c>
      <c r="E48" s="84">
        <f t="shared" si="2"/>
        <v>718.95</v>
      </c>
      <c r="F48" s="75">
        <f t="shared" si="5"/>
        <v>171</v>
      </c>
      <c r="G48" s="76">
        <f t="shared" si="4"/>
        <v>368</v>
      </c>
    </row>
    <row r="49" spans="2:7" ht="15" x14ac:dyDescent="0.25">
      <c r="B49" s="81">
        <f t="shared" si="6"/>
        <v>220</v>
      </c>
      <c r="C49" s="82">
        <f t="shared" si="0"/>
        <v>6.6444462657887788</v>
      </c>
      <c r="D49" s="83">
        <f t="shared" si="1"/>
        <v>126.32</v>
      </c>
      <c r="E49" s="84">
        <f t="shared" si="2"/>
        <v>851.65</v>
      </c>
      <c r="F49" s="75">
        <f t="shared" si="5"/>
        <v>171</v>
      </c>
      <c r="G49" s="76">
        <f t="shared" si="4"/>
        <v>368</v>
      </c>
    </row>
    <row r="50" spans="2:7" ht="15" x14ac:dyDescent="0.25">
      <c r="B50" s="81">
        <f t="shared" si="6"/>
        <v>230</v>
      </c>
      <c r="C50" s="82">
        <f t="shared" si="0"/>
        <v>6.3550766925937863</v>
      </c>
      <c r="D50" s="83">
        <f t="shared" si="1"/>
        <v>129.54</v>
      </c>
      <c r="E50" s="84">
        <f t="shared" si="2"/>
        <v>1024.26</v>
      </c>
      <c r="F50" s="75">
        <f t="shared" si="5"/>
        <v>170</v>
      </c>
      <c r="G50" s="76">
        <f t="shared" si="4"/>
        <v>369</v>
      </c>
    </row>
    <row r="51" spans="2:7" ht="15" x14ac:dyDescent="0.25">
      <c r="B51" s="81">
        <f t="shared" si="6"/>
        <v>240</v>
      </c>
      <c r="C51" s="82">
        <f t="shared" si="0"/>
        <v>6.0898596933452414</v>
      </c>
      <c r="D51" s="83">
        <f t="shared" si="1"/>
        <v>132.65</v>
      </c>
      <c r="E51" s="84">
        <f t="shared" si="2"/>
        <v>1257.99</v>
      </c>
      <c r="F51" s="75">
        <f t="shared" si="5"/>
        <v>170</v>
      </c>
      <c r="G51" s="76">
        <f t="shared" si="4"/>
        <v>369</v>
      </c>
    </row>
    <row r="52" spans="2:7" ht="15" x14ac:dyDescent="0.25">
      <c r="B52" s="81">
        <f t="shared" si="6"/>
        <v>250</v>
      </c>
      <c r="C52" s="82">
        <f t="shared" si="0"/>
        <v>5.8458925237763308</v>
      </c>
      <c r="D52" s="83">
        <f t="shared" si="1"/>
        <v>135.65</v>
      </c>
      <c r="E52" s="84">
        <f t="shared" si="2"/>
        <v>1592.26</v>
      </c>
      <c r="F52" s="75">
        <f t="shared" si="5"/>
        <v>169</v>
      </c>
      <c r="G52" s="76">
        <f t="shared" si="4"/>
        <v>370</v>
      </c>
    </row>
    <row r="53" spans="2:7" ht="15" x14ac:dyDescent="0.25">
      <c r="B53" s="81">
        <f t="shared" si="6"/>
        <v>260</v>
      </c>
      <c r="C53" s="82">
        <f t="shared" si="0"/>
        <v>5.6207196727499635</v>
      </c>
      <c r="D53" s="83">
        <f t="shared" si="1"/>
        <v>138.54</v>
      </c>
      <c r="E53" s="84">
        <f t="shared" si="2"/>
        <v>2109.7399999999998</v>
      </c>
      <c r="F53" s="75">
        <f t="shared" si="5"/>
        <v>169</v>
      </c>
      <c r="G53" s="76">
        <f t="shared" si="4"/>
        <v>370</v>
      </c>
    </row>
    <row r="54" spans="2:7" ht="15" x14ac:dyDescent="0.25">
      <c r="B54" s="81">
        <f t="shared" si="6"/>
        <v>270</v>
      </c>
      <c r="C54" s="82">
        <f t="shared" si="0"/>
        <v>5.4122499239665007</v>
      </c>
      <c r="D54" s="83">
        <f t="shared" si="1"/>
        <v>141.32</v>
      </c>
      <c r="E54" s="84">
        <f t="shared" si="2"/>
        <v>3017.88</v>
      </c>
      <c r="F54" s="75">
        <f t="shared" si="5"/>
        <v>169</v>
      </c>
      <c r="G54" s="76">
        <f t="shared" si="4"/>
        <v>370</v>
      </c>
    </row>
    <row r="55" spans="2:7" ht="15" x14ac:dyDescent="0.25">
      <c r="B55" s="81">
        <f t="shared" si="6"/>
        <v>280</v>
      </c>
      <c r="C55" s="82">
        <f t="shared" si="0"/>
        <v>5.2186912144425612</v>
      </c>
      <c r="D55" s="83">
        <f t="shared" si="1"/>
        <v>144.01</v>
      </c>
      <c r="E55" s="84">
        <f t="shared" si="2"/>
        <v>5027.33</v>
      </c>
      <c r="F55" s="75">
        <f t="shared" si="5"/>
        <v>169</v>
      </c>
      <c r="G55" s="76">
        <f t="shared" si="4"/>
        <v>370</v>
      </c>
    </row>
    <row r="56" spans="2:7" ht="15" x14ac:dyDescent="0.25">
      <c r="B56" s="81">
        <f t="shared" si="6"/>
        <v>290</v>
      </c>
      <c r="C56" s="82">
        <f t="shared" si="0"/>
        <v>5.0384989883225497</v>
      </c>
      <c r="D56" s="83">
        <f t="shared" si="1"/>
        <v>146.61000000000001</v>
      </c>
      <c r="E56" s="84">
        <f t="shared" si="2"/>
        <v>13227.34</v>
      </c>
      <c r="F56" s="75">
        <f t="shared" si="5"/>
        <v>168</v>
      </c>
      <c r="G56" s="76">
        <f t="shared" si="4"/>
        <v>371</v>
      </c>
    </row>
    <row r="57" spans="2:7" ht="15" x14ac:dyDescent="0.25">
      <c r="B57" s="81">
        <f t="shared" si="6"/>
        <v>300</v>
      </c>
      <c r="C57" s="82">
        <f t="shared" si="0"/>
        <v>4.8703348930972101</v>
      </c>
      <c r="D57" s="83">
        <f t="shared" si="1"/>
        <v>149.12</v>
      </c>
      <c r="E57" s="84">
        <f t="shared" si="2"/>
        <v>-25322.98</v>
      </c>
      <c r="F57" s="75">
        <f t="shared" si="5"/>
        <v>168</v>
      </c>
      <c r="G57" s="76">
        <f t="shared" si="4"/>
        <v>371</v>
      </c>
    </row>
    <row r="58" spans="2:7" ht="15" x14ac:dyDescent="0.25">
      <c r="B58" s="81">
        <f t="shared" si="6"/>
        <v>310</v>
      </c>
      <c r="C58" s="82">
        <f t="shared" si="0"/>
        <v>4.7130334799656355</v>
      </c>
      <c r="D58" s="83">
        <f t="shared" si="1"/>
        <v>151.54</v>
      </c>
      <c r="E58" s="84">
        <f t="shared" si="2"/>
        <v>-6795.54</v>
      </c>
      <c r="F58" s="75">
        <f t="shared" si="5"/>
        <v>168</v>
      </c>
      <c r="G58" s="76">
        <f t="shared" si="4"/>
        <v>371</v>
      </c>
    </row>
    <row r="59" spans="2:7" ht="15" x14ac:dyDescent="0.25">
      <c r="B59" s="81">
        <f t="shared" si="6"/>
        <v>320</v>
      </c>
      <c r="C59" s="82">
        <f t="shared" si="0"/>
        <v>4.5655751553416888</v>
      </c>
      <c r="D59" s="83">
        <f t="shared" si="1"/>
        <v>153.88999999999999</v>
      </c>
      <c r="E59" s="84">
        <f t="shared" si="2"/>
        <v>-4030.76</v>
      </c>
      <c r="F59" s="75">
        <f t="shared" si="5"/>
        <v>168</v>
      </c>
      <c r="G59" s="76">
        <f t="shared" si="4"/>
        <v>371</v>
      </c>
    </row>
    <row r="60" spans="2:7" ht="15" x14ac:dyDescent="0.25">
      <c r="B60" s="81">
        <f t="shared" si="6"/>
        <v>330</v>
      </c>
      <c r="C60" s="82">
        <f t="shared" si="0"/>
        <v>4.4270640559678176</v>
      </c>
      <c r="D60" s="83">
        <f t="shared" si="1"/>
        <v>156.16</v>
      </c>
      <c r="E60" s="84">
        <f t="shared" si="2"/>
        <v>-2916.21</v>
      </c>
      <c r="F60" s="75">
        <f t="shared" si="5"/>
        <v>167</v>
      </c>
      <c r="G60" s="76">
        <f t="shared" si="4"/>
        <v>372</v>
      </c>
    </row>
    <row r="61" spans="2:7" ht="15" x14ac:dyDescent="0.25">
      <c r="B61" s="81">
        <f t="shared" si="6"/>
        <v>340</v>
      </c>
      <c r="C61" s="82">
        <f t="shared" si="0"/>
        <v>4.2967098328121596</v>
      </c>
      <c r="D61" s="83">
        <f t="shared" si="1"/>
        <v>158.37</v>
      </c>
      <c r="E61" s="84">
        <f t="shared" si="2"/>
        <v>-2314</v>
      </c>
      <c r="F61" s="75">
        <f t="shared" si="5"/>
        <v>167</v>
      </c>
      <c r="G61" s="76">
        <f t="shared" si="4"/>
        <v>372</v>
      </c>
    </row>
    <row r="62" spans="2:7" ht="15" x14ac:dyDescent="0.25">
      <c r="B62" s="81">
        <f t="shared" si="6"/>
        <v>350</v>
      </c>
      <c r="C62" s="82">
        <f t="shared" si="0"/>
        <v>4.1738125611381562</v>
      </c>
      <c r="D62" s="83">
        <f t="shared" si="1"/>
        <v>160.5</v>
      </c>
      <c r="E62" s="84">
        <f t="shared" si="2"/>
        <v>-1936.88</v>
      </c>
      <c r="F62" s="75">
        <f t="shared" si="5"/>
        <v>167</v>
      </c>
      <c r="G62" s="76">
        <f t="shared" si="4"/>
        <v>372</v>
      </c>
    </row>
    <row r="63" spans="2:7" ht="15" x14ac:dyDescent="0.25">
      <c r="B63" s="81">
        <f t="shared" si="6"/>
        <v>360</v>
      </c>
      <c r="C63" s="82">
        <f t="shared" si="0"/>
        <v>4.0577501682340706</v>
      </c>
      <c r="D63" s="83">
        <f t="shared" si="1"/>
        <v>162.57</v>
      </c>
      <c r="E63" s="84">
        <f t="shared" si="2"/>
        <v>-1678.52</v>
      </c>
      <c r="F63" s="75">
        <f t="shared" si="5"/>
        <v>167</v>
      </c>
      <c r="G63" s="76">
        <f t="shared" si="4"/>
        <v>372</v>
      </c>
    </row>
    <row r="64" spans="2:7" ht="15" x14ac:dyDescent="0.25">
      <c r="B64" s="81">
        <f t="shared" si="6"/>
        <v>370</v>
      </c>
      <c r="C64" s="82">
        <f t="shared" si="0"/>
        <v>3.9479679019961149</v>
      </c>
      <c r="D64" s="83">
        <f t="shared" si="1"/>
        <v>164.57</v>
      </c>
      <c r="E64" s="84">
        <f t="shared" si="2"/>
        <v>-1490.46</v>
      </c>
      <c r="F64" s="75">
        <f t="shared" si="5"/>
        <v>167</v>
      </c>
      <c r="G64" s="76">
        <f t="shared" si="4"/>
        <v>372</v>
      </c>
    </row>
    <row r="65" spans="2:7" ht="15" x14ac:dyDescent="0.25">
      <c r="B65" s="81">
        <f t="shared" si="6"/>
        <v>380</v>
      </c>
      <c r="C65" s="82">
        <f t="shared" si="0"/>
        <v>3.8439694640401667</v>
      </c>
      <c r="D65" s="83">
        <f t="shared" si="1"/>
        <v>166.52</v>
      </c>
      <c r="E65" s="84">
        <f t="shared" si="2"/>
        <v>-1347.44</v>
      </c>
      <c r="F65" s="75">
        <f t="shared" si="5"/>
        <v>167</v>
      </c>
      <c r="G65" s="76">
        <f t="shared" si="4"/>
        <v>372</v>
      </c>
    </row>
    <row r="66" spans="2:7" ht="15" x14ac:dyDescent="0.25">
      <c r="B66" s="81">
        <f t="shared" si="6"/>
        <v>390</v>
      </c>
      <c r="C66" s="82">
        <f t="shared" si="0"/>
        <v>3.7453095082876047</v>
      </c>
      <c r="D66" s="83">
        <f t="shared" si="1"/>
        <v>168.41</v>
      </c>
      <c r="E66" s="84">
        <f t="shared" si="2"/>
        <v>-1235.01</v>
      </c>
      <c r="F66" s="75">
        <f t="shared" si="5"/>
        <v>166</v>
      </c>
      <c r="G66" s="76">
        <f t="shared" si="4"/>
        <v>373</v>
      </c>
    </row>
    <row r="67" spans="2:7" ht="15" x14ac:dyDescent="0.25">
      <c r="B67" s="81">
        <f t="shared" si="6"/>
        <v>400</v>
      </c>
      <c r="C67" s="82">
        <f t="shared" si="0"/>
        <v>3.6515872658388759</v>
      </c>
      <c r="D67" s="83">
        <f t="shared" si="1"/>
        <v>170.24</v>
      </c>
      <c r="E67" s="84">
        <f t="shared" si="2"/>
        <v>-1144.3</v>
      </c>
      <c r="F67" s="75">
        <f t="shared" si="5"/>
        <v>166</v>
      </c>
      <c r="G67" s="76">
        <f t="shared" si="4"/>
        <v>373</v>
      </c>
    </row>
    <row r="68" spans="2:7" ht="15" x14ac:dyDescent="0.25">
      <c r="B68" s="81">
        <f t="shared" si="6"/>
        <v>410</v>
      </c>
      <c r="C68" s="82">
        <f t="shared" si="0"/>
        <v>3.5624411036624362</v>
      </c>
      <c r="D68" s="83">
        <f t="shared" si="1"/>
        <v>172.03</v>
      </c>
      <c r="E68" s="84">
        <f t="shared" si="2"/>
        <v>-1069.57</v>
      </c>
      <c r="F68" s="75">
        <f t="shared" si="5"/>
        <v>166</v>
      </c>
      <c r="G68" s="76">
        <f t="shared" si="4"/>
        <v>373</v>
      </c>
    </row>
    <row r="69" spans="2:7" ht="15" x14ac:dyDescent="0.25">
      <c r="B69" s="81">
        <f t="shared" si="6"/>
        <v>420</v>
      </c>
      <c r="C69" s="82">
        <f t="shared" si="0"/>
        <v>3.4775438613214873</v>
      </c>
      <c r="D69" s="83">
        <f t="shared" si="1"/>
        <v>173.76</v>
      </c>
      <c r="E69" s="84">
        <f t="shared" si="2"/>
        <v>-1006.95</v>
      </c>
      <c r="F69" s="75">
        <f t="shared" si="5"/>
        <v>166</v>
      </c>
      <c r="G69" s="76">
        <f t="shared" si="4"/>
        <v>373</v>
      </c>
    </row>
    <row r="70" spans="2:7" ht="15" x14ac:dyDescent="0.25">
      <c r="B70" s="81">
        <f t="shared" si="6"/>
        <v>430</v>
      </c>
      <c r="C70" s="82">
        <f t="shared" si="0"/>
        <v>3.396598838968572</v>
      </c>
      <c r="D70" s="83">
        <f t="shared" si="1"/>
        <v>175.45</v>
      </c>
      <c r="E70" s="84">
        <f t="shared" si="2"/>
        <v>-953.71</v>
      </c>
      <c r="F70" s="75">
        <f t="shared" si="5"/>
        <v>166</v>
      </c>
      <c r="G70" s="76">
        <f t="shared" si="4"/>
        <v>373</v>
      </c>
    </row>
    <row r="71" spans="2:7" ht="15" x14ac:dyDescent="0.25">
      <c r="B71" s="81">
        <f t="shared" si="6"/>
        <v>440</v>
      </c>
      <c r="C71" s="82">
        <f t="shared" si="0"/>
        <v>3.3193363329072056</v>
      </c>
      <c r="D71" s="83">
        <f t="shared" si="1"/>
        <v>177.09</v>
      </c>
      <c r="E71" s="84">
        <f t="shared" si="2"/>
        <v>-907.88</v>
      </c>
      <c r="F71" s="75">
        <f t="shared" si="5"/>
        <v>166</v>
      </c>
      <c r="G71" s="76">
        <f t="shared" si="4"/>
        <v>373</v>
      </c>
    </row>
    <row r="72" spans="2:7" ht="15" x14ac:dyDescent="0.25">
      <c r="B72" s="81">
        <f t="shared" si="6"/>
        <v>450</v>
      </c>
      <c r="C72" s="82">
        <f t="shared" si="0"/>
        <v>3.2455106334710795</v>
      </c>
      <c r="D72" s="83">
        <f t="shared" si="1"/>
        <v>178.68</v>
      </c>
      <c r="E72" s="84">
        <f t="shared" si="2"/>
        <v>-868.03</v>
      </c>
      <c r="F72" s="75">
        <f t="shared" si="5"/>
        <v>166</v>
      </c>
      <c r="G72" s="76">
        <f t="shared" si="4"/>
        <v>373</v>
      </c>
    </row>
    <row r="73" spans="2:7" ht="15" x14ac:dyDescent="0.25">
      <c r="B73" s="81">
        <f t="shared" si="6"/>
        <v>460</v>
      </c>
      <c r="C73" s="82">
        <f t="shared" si="0"/>
        <v>3.1748974148096893</v>
      </c>
      <c r="D73" s="83">
        <f t="shared" si="1"/>
        <v>180.24</v>
      </c>
      <c r="E73" s="84">
        <f t="shared" si="2"/>
        <v>-833.05</v>
      </c>
      <c r="F73" s="75">
        <f t="shared" si="5"/>
        <v>166</v>
      </c>
      <c r="G73" s="76">
        <f t="shared" si="4"/>
        <v>373</v>
      </c>
    </row>
    <row r="74" spans="2:7" ht="15" x14ac:dyDescent="0.25">
      <c r="B74" s="81">
        <f t="shared" si="6"/>
        <v>470</v>
      </c>
      <c r="C74" s="82">
        <f t="shared" si="0"/>
        <v>3.1072914581638691</v>
      </c>
      <c r="D74" s="83">
        <f t="shared" si="1"/>
        <v>181.75</v>
      </c>
      <c r="E74" s="84">
        <f t="shared" si="2"/>
        <v>-802.11</v>
      </c>
      <c r="F74" s="75">
        <f t="shared" si="5"/>
        <v>166</v>
      </c>
      <c r="G74" s="76">
        <f t="shared" si="4"/>
        <v>373</v>
      </c>
    </row>
    <row r="75" spans="2:7" ht="15" x14ac:dyDescent="0.25">
      <c r="B75" s="81">
        <f t="shared" si="6"/>
        <v>480</v>
      </c>
      <c r="C75" s="82">
        <f t="shared" si="0"/>
        <v>3.0425046599585501</v>
      </c>
      <c r="D75" s="83">
        <f t="shared" si="1"/>
        <v>183.23</v>
      </c>
      <c r="E75" s="84">
        <f t="shared" si="2"/>
        <v>-774.53</v>
      </c>
      <c r="F75" s="75">
        <f t="shared" si="5"/>
        <v>166</v>
      </c>
      <c r="G75" s="76">
        <f t="shared" si="4"/>
        <v>373</v>
      </c>
    </row>
    <row r="76" spans="2:7" ht="15" x14ac:dyDescent="0.25">
      <c r="B76" s="81">
        <f t="shared" si="6"/>
        <v>490</v>
      </c>
      <c r="C76" s="82">
        <f t="shared" si="0"/>
        <v>2.9803642839928268</v>
      </c>
      <c r="D76" s="83">
        <f t="shared" si="1"/>
        <v>184.66</v>
      </c>
      <c r="E76" s="84">
        <f t="shared" si="2"/>
        <v>-749.81</v>
      </c>
      <c r="F76" s="75">
        <f t="shared" si="5"/>
        <v>165</v>
      </c>
      <c r="G76" s="76">
        <f t="shared" si="4"/>
        <v>374</v>
      </c>
    </row>
    <row r="77" spans="2:7" ht="15" x14ac:dyDescent="0.25">
      <c r="B77" s="81">
        <f t="shared" si="6"/>
        <v>500</v>
      </c>
      <c r="C77" s="82">
        <f t="shared" si="0"/>
        <v>2.9207114235275751</v>
      </c>
      <c r="D77" s="103">
        <f t="shared" si="1"/>
        <v>186.06</v>
      </c>
      <c r="E77" s="84">
        <f t="shared" si="2"/>
        <v>-727.51</v>
      </c>
      <c r="F77" s="75">
        <f t="shared" si="5"/>
        <v>165</v>
      </c>
      <c r="G77" s="76">
        <f t="shared" si="4"/>
        <v>374</v>
      </c>
    </row>
    <row r="78" spans="2:7" ht="15" x14ac:dyDescent="0.25">
      <c r="B78" s="104" t="s">
        <v>98</v>
      </c>
      <c r="C78" s="105">
        <v>0</v>
      </c>
      <c r="D78" s="106"/>
      <c r="E78" s="107"/>
      <c r="F78" s="75">
        <f t="shared" si="5"/>
        <v>161</v>
      </c>
      <c r="G78" s="76">
        <f t="shared" si="4"/>
        <v>378</v>
      </c>
    </row>
    <row r="79" spans="2:7" ht="15.75" thickBot="1" x14ac:dyDescent="0.3">
      <c r="B79" s="108" t="s">
        <v>99</v>
      </c>
      <c r="C79" s="109">
        <v>-30</v>
      </c>
      <c r="D79" s="110"/>
      <c r="E79" s="111"/>
      <c r="F79" s="75">
        <f t="shared" si="5"/>
        <v>120</v>
      </c>
      <c r="G79" s="76">
        <f t="shared" si="4"/>
        <v>419</v>
      </c>
    </row>
  </sheetData>
  <mergeCells count="8">
    <mergeCell ref="I2:J2"/>
    <mergeCell ref="D18:E18"/>
    <mergeCell ref="F18:F19"/>
    <mergeCell ref="G18:G19"/>
    <mergeCell ref="B2:B6"/>
    <mergeCell ref="C2:D2"/>
    <mergeCell ref="E2:F2"/>
    <mergeCell ref="G2:H2"/>
  </mergeCells>
  <pageMargins left="0.75" right="0.75" top="1" bottom="1" header="0.5" footer="0.5"/>
  <pageSetup scale="57" fitToHeight="0" orientation="landscape" horizontalDpi="1200" verticalDpi="1200" r:id="rId1"/>
  <headerFooter>
    <oddHeader>&amp;C&amp;8&amp;R&amp;8 DOF</oddHeader>
    <oddFooter xml:space="preserve">&amp;L&amp;8 80-NN841-1 A
 &amp;C&amp;8
&amp;"Arial,Bold"MAY CONTAIN U.S. AND INTERNATIONAL EXPORT CONTROLLED INFORMATION&amp;R&amp;8Confidential and Proprietary – Qualcomm Technologies, Inc.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J64"/>
  <sheetViews>
    <sheetView zoomScaleNormal="100" zoomScaleSheetLayoutView="115" workbookViewId="0"/>
  </sheetViews>
  <sheetFormatPr defaultColWidth="9.140625" defaultRowHeight="12.75" x14ac:dyDescent="0.2"/>
  <cols>
    <col min="1" max="2" width="6.7109375" style="6" customWidth="1"/>
    <col min="3" max="3" width="15.42578125" style="6" customWidth="1"/>
    <col min="4" max="4" width="40.28515625" style="6" customWidth="1"/>
    <col min="5" max="5" width="33.28515625" style="210" customWidth="1"/>
    <col min="6" max="6" width="9.140625" style="6"/>
    <col min="7" max="8" width="11.42578125" style="6" customWidth="1"/>
    <col min="9" max="16384" width="9.140625" style="6"/>
  </cols>
  <sheetData>
    <row r="1" spans="1:10" ht="19.899999999999999" customHeight="1" x14ac:dyDescent="0.25">
      <c r="A1" s="202"/>
      <c r="B1" s="203"/>
      <c r="C1" s="203"/>
      <c r="D1" s="203"/>
      <c r="E1" s="204"/>
      <c r="F1" s="7"/>
      <c r="G1" s="7"/>
      <c r="H1" s="7"/>
      <c r="I1" s="7"/>
      <c r="J1" s="7"/>
    </row>
    <row r="2" spans="1:10" s="7" customFormat="1" ht="36.6" customHeight="1" x14ac:dyDescent="0.4">
      <c r="A2" s="318" t="s">
        <v>227</v>
      </c>
      <c r="B2" s="318"/>
      <c r="C2" s="318"/>
      <c r="D2" s="318"/>
      <c r="E2" s="319"/>
    </row>
    <row r="3" spans="1:10" s="8" customFormat="1" ht="25.5" customHeight="1" x14ac:dyDescent="0.3">
      <c r="A3" s="183"/>
      <c r="B3" s="182"/>
      <c r="C3" s="182"/>
      <c r="D3" s="184"/>
      <c r="E3" s="205"/>
    </row>
    <row r="4" spans="1:10" s="180" customFormat="1" ht="145.5" customHeight="1" x14ac:dyDescent="0.3">
      <c r="A4" s="185"/>
      <c r="B4" s="246" t="s">
        <v>284</v>
      </c>
      <c r="C4" s="246"/>
      <c r="D4" s="246"/>
      <c r="E4" s="247"/>
    </row>
    <row r="5" spans="1:10" s="180" customFormat="1" ht="30.75" customHeight="1" x14ac:dyDescent="0.3">
      <c r="A5" s="185"/>
      <c r="B5" s="246" t="s">
        <v>285</v>
      </c>
      <c r="C5" s="246"/>
      <c r="D5" s="246"/>
      <c r="E5" s="250"/>
    </row>
    <row r="6" spans="1:10" s="7" customFormat="1" ht="39" customHeight="1" x14ac:dyDescent="0.3">
      <c r="A6" s="320" t="s">
        <v>230</v>
      </c>
      <c r="B6" s="320"/>
      <c r="C6" s="320"/>
      <c r="D6" s="320"/>
      <c r="E6" s="321"/>
    </row>
    <row r="7" spans="1:10" s="7" customFormat="1" ht="37.5" customHeight="1" x14ac:dyDescent="0.25">
      <c r="A7" s="186"/>
      <c r="B7" s="187" t="s">
        <v>231</v>
      </c>
      <c r="C7" s="322" t="s">
        <v>232</v>
      </c>
      <c r="D7" s="322"/>
      <c r="E7" s="323"/>
    </row>
    <row r="8" spans="1:10" s="7" customFormat="1" ht="27" customHeight="1" x14ac:dyDescent="0.25">
      <c r="A8" s="186"/>
      <c r="B8" s="188"/>
      <c r="C8" s="324" t="s">
        <v>233</v>
      </c>
      <c r="D8" s="324"/>
      <c r="E8" s="325"/>
    </row>
    <row r="9" spans="1:10" s="179" customFormat="1" ht="39" customHeight="1" x14ac:dyDescent="0.3">
      <c r="A9" s="189"/>
      <c r="B9" s="190"/>
      <c r="C9" s="251" t="s">
        <v>234</v>
      </c>
      <c r="D9" s="251"/>
      <c r="E9" s="252"/>
    </row>
    <row r="10" spans="1:10" s="7" customFormat="1" ht="26.25" customHeight="1" x14ac:dyDescent="0.25">
      <c r="A10" s="191"/>
      <c r="B10" s="192" t="s">
        <v>235</v>
      </c>
      <c r="C10" s="326" t="s">
        <v>236</v>
      </c>
      <c r="D10" s="326"/>
      <c r="E10" s="327"/>
    </row>
    <row r="11" spans="1:10" s="7" customFormat="1" ht="15" customHeight="1" x14ac:dyDescent="0.25">
      <c r="A11" s="191"/>
      <c r="B11" s="193"/>
      <c r="C11" s="313" t="s">
        <v>237</v>
      </c>
      <c r="D11" s="313"/>
      <c r="E11" s="314"/>
    </row>
    <row r="12" spans="1:10" s="7" customFormat="1" ht="24" customHeight="1" x14ac:dyDescent="0.25">
      <c r="A12" s="191"/>
      <c r="B12" s="193"/>
      <c r="C12" s="313" t="s">
        <v>238</v>
      </c>
      <c r="D12" s="313"/>
      <c r="E12" s="314"/>
    </row>
    <row r="13" spans="1:10" s="7" customFormat="1" ht="16.899999999999999" customHeight="1" x14ac:dyDescent="0.25">
      <c r="A13" s="191"/>
      <c r="B13" s="194"/>
      <c r="C13" s="328" t="s">
        <v>239</v>
      </c>
      <c r="D13" s="328"/>
      <c r="E13" s="206"/>
    </row>
    <row r="14" spans="1:10" s="7" customFormat="1" ht="40.5" customHeight="1" x14ac:dyDescent="0.25">
      <c r="A14" s="191"/>
      <c r="B14" s="195"/>
      <c r="C14" s="326" t="s">
        <v>240</v>
      </c>
      <c r="D14" s="329"/>
      <c r="E14" s="330"/>
    </row>
    <row r="15" spans="1:10" s="7" customFormat="1" ht="15.75" x14ac:dyDescent="0.25">
      <c r="A15" s="191"/>
      <c r="B15" s="261"/>
      <c r="C15" s="261"/>
      <c r="D15" s="261"/>
      <c r="E15" s="207"/>
    </row>
    <row r="16" spans="1:10" s="7" customFormat="1" ht="20.25" x14ac:dyDescent="0.3">
      <c r="A16" s="253" t="s">
        <v>243</v>
      </c>
      <c r="B16" s="253"/>
      <c r="C16" s="253"/>
      <c r="D16" s="253"/>
      <c r="E16" s="254"/>
    </row>
    <row r="17" spans="1:6" s="7" customFormat="1" ht="31.5" customHeight="1" x14ac:dyDescent="0.25">
      <c r="A17" s="191"/>
      <c r="B17" s="196"/>
      <c r="C17" s="315" t="s">
        <v>241</v>
      </c>
      <c r="D17" s="316"/>
      <c r="E17" s="317"/>
    </row>
    <row r="18" spans="1:6" s="7" customFormat="1" ht="15" customHeight="1" x14ac:dyDescent="0.25">
      <c r="A18" s="191"/>
      <c r="B18" s="197"/>
      <c r="C18" s="198" t="s">
        <v>242</v>
      </c>
      <c r="D18" s="199"/>
      <c r="E18" s="208"/>
      <c r="F18" s="115"/>
    </row>
    <row r="19" spans="1:6" s="7" customFormat="1" ht="15.75" x14ac:dyDescent="0.25">
      <c r="A19" s="191"/>
      <c r="B19" s="200"/>
      <c r="C19" s="198"/>
      <c r="D19" s="199"/>
      <c r="E19" s="208"/>
      <c r="F19" s="115"/>
    </row>
    <row r="20" spans="1:6" x14ac:dyDescent="0.2">
      <c r="A20" s="201"/>
      <c r="B20" s="201"/>
      <c r="C20" s="201"/>
      <c r="D20" s="201"/>
      <c r="E20" s="209"/>
    </row>
    <row r="21" spans="1:6" x14ac:dyDescent="0.2">
      <c r="A21" s="201"/>
      <c r="B21" s="201"/>
      <c r="C21" s="201"/>
      <c r="D21" s="201"/>
      <c r="E21" s="209"/>
    </row>
    <row r="22" spans="1:6" x14ac:dyDescent="0.2">
      <c r="A22" s="201"/>
      <c r="B22" s="201"/>
      <c r="C22" s="201"/>
      <c r="D22" s="201"/>
      <c r="E22" s="209"/>
    </row>
    <row r="23" spans="1:6" x14ac:dyDescent="0.2">
      <c r="A23" s="201"/>
      <c r="B23" s="201"/>
      <c r="C23" s="201"/>
      <c r="D23" s="201"/>
      <c r="E23" s="209"/>
    </row>
    <row r="24" spans="1:6" x14ac:dyDescent="0.2">
      <c r="A24" s="201"/>
      <c r="B24" s="201"/>
      <c r="C24" s="201"/>
      <c r="D24" s="201"/>
      <c r="E24" s="209"/>
    </row>
    <row r="25" spans="1:6" x14ac:dyDescent="0.2">
      <c r="A25" s="201"/>
      <c r="B25" s="201"/>
      <c r="C25" s="201"/>
      <c r="D25" s="201"/>
      <c r="E25" s="209"/>
    </row>
    <row r="26" spans="1:6" x14ac:dyDescent="0.2">
      <c r="A26" s="201"/>
      <c r="B26" s="201"/>
      <c r="C26" s="201"/>
      <c r="D26" s="201"/>
      <c r="E26" s="209"/>
    </row>
    <row r="27" spans="1:6" x14ac:dyDescent="0.2">
      <c r="A27" s="201"/>
      <c r="B27" s="201"/>
      <c r="C27" s="201"/>
      <c r="D27" s="201"/>
      <c r="E27" s="209"/>
    </row>
    <row r="28" spans="1:6" x14ac:dyDescent="0.2">
      <c r="A28" s="201"/>
      <c r="B28" s="201"/>
      <c r="C28" s="201"/>
      <c r="D28" s="201"/>
      <c r="E28" s="209"/>
    </row>
    <row r="29" spans="1:6" x14ac:dyDescent="0.2">
      <c r="A29" s="201"/>
      <c r="B29" s="201"/>
      <c r="C29" s="201"/>
      <c r="D29" s="201"/>
      <c r="E29" s="209"/>
    </row>
    <row r="30" spans="1:6" x14ac:dyDescent="0.2">
      <c r="A30" s="201"/>
      <c r="B30" s="201"/>
      <c r="C30" s="201"/>
      <c r="D30" s="201"/>
      <c r="E30" s="209"/>
    </row>
    <row r="31" spans="1:6" x14ac:dyDescent="0.2">
      <c r="A31" s="201"/>
      <c r="B31" s="201"/>
      <c r="C31" s="201"/>
      <c r="D31" s="201"/>
      <c r="E31" s="209"/>
    </row>
    <row r="32" spans="1:6" x14ac:dyDescent="0.2">
      <c r="A32" s="201"/>
      <c r="B32" s="201"/>
      <c r="C32" s="201"/>
      <c r="D32" s="201"/>
      <c r="E32" s="209"/>
    </row>
    <row r="33" spans="1:5" x14ac:dyDescent="0.2">
      <c r="A33" s="201"/>
      <c r="B33" s="201"/>
      <c r="C33" s="201"/>
      <c r="D33" s="201"/>
      <c r="E33" s="209"/>
    </row>
    <row r="34" spans="1:5" x14ac:dyDescent="0.2">
      <c r="A34" s="201"/>
      <c r="B34" s="201"/>
      <c r="C34" s="201"/>
      <c r="D34" s="201"/>
      <c r="E34" s="209"/>
    </row>
    <row r="35" spans="1:5" x14ac:dyDescent="0.2">
      <c r="A35" s="201"/>
      <c r="B35" s="201"/>
      <c r="C35" s="201"/>
      <c r="D35" s="201"/>
      <c r="E35" s="209"/>
    </row>
    <row r="36" spans="1:5" x14ac:dyDescent="0.2">
      <c r="A36" s="201"/>
      <c r="B36" s="201"/>
      <c r="C36" s="201"/>
      <c r="D36" s="201"/>
      <c r="E36" s="209"/>
    </row>
    <row r="37" spans="1:5" x14ac:dyDescent="0.2">
      <c r="A37" s="201"/>
      <c r="B37" s="201"/>
      <c r="C37" s="201"/>
      <c r="D37" s="201"/>
      <c r="E37" s="209"/>
    </row>
    <row r="38" spans="1:5" x14ac:dyDescent="0.2">
      <c r="A38" s="201"/>
      <c r="B38" s="201"/>
      <c r="C38" s="201"/>
      <c r="D38" s="201"/>
      <c r="E38" s="209"/>
    </row>
    <row r="39" spans="1:5" x14ac:dyDescent="0.2">
      <c r="A39" s="201"/>
      <c r="B39" s="201"/>
      <c r="C39" s="201"/>
      <c r="D39" s="201"/>
      <c r="E39" s="209"/>
    </row>
    <row r="40" spans="1:5" x14ac:dyDescent="0.2">
      <c r="A40" s="201"/>
      <c r="B40" s="201"/>
      <c r="C40" s="201"/>
      <c r="D40" s="201"/>
      <c r="E40" s="209"/>
    </row>
    <row r="41" spans="1:5" x14ac:dyDescent="0.2">
      <c r="A41" s="201"/>
      <c r="B41" s="201"/>
      <c r="C41" s="201"/>
      <c r="D41" s="201"/>
      <c r="E41" s="209"/>
    </row>
    <row r="42" spans="1:5" x14ac:dyDescent="0.2">
      <c r="A42" s="201"/>
      <c r="B42" s="201"/>
      <c r="C42" s="201"/>
      <c r="D42" s="201"/>
      <c r="E42" s="209"/>
    </row>
    <row r="43" spans="1:5" x14ac:dyDescent="0.2">
      <c r="A43" s="201"/>
      <c r="B43" s="201"/>
      <c r="C43" s="201"/>
      <c r="D43" s="201"/>
      <c r="E43" s="209"/>
    </row>
    <row r="44" spans="1:5" x14ac:dyDescent="0.2">
      <c r="A44" s="201"/>
      <c r="B44" s="201"/>
      <c r="C44" s="201"/>
      <c r="D44" s="201"/>
      <c r="E44" s="209"/>
    </row>
    <row r="45" spans="1:5" x14ac:dyDescent="0.2">
      <c r="A45" s="201"/>
      <c r="B45" s="201"/>
      <c r="C45" s="201"/>
      <c r="D45" s="201"/>
      <c r="E45" s="209"/>
    </row>
    <row r="46" spans="1:5" x14ac:dyDescent="0.2">
      <c r="A46" s="201"/>
      <c r="B46" s="201"/>
      <c r="C46" s="201"/>
      <c r="D46" s="201"/>
      <c r="E46" s="209"/>
    </row>
    <row r="47" spans="1:5" x14ac:dyDescent="0.2">
      <c r="A47" s="201"/>
      <c r="B47" s="201"/>
      <c r="C47" s="201"/>
      <c r="D47" s="201"/>
      <c r="E47" s="209"/>
    </row>
    <row r="48" spans="1:5" x14ac:dyDescent="0.2">
      <c r="A48" s="201"/>
      <c r="B48" s="201"/>
      <c r="C48" s="201"/>
      <c r="D48" s="201"/>
      <c r="E48" s="209"/>
    </row>
    <row r="49" spans="1:5" x14ac:dyDescent="0.2">
      <c r="A49" s="201"/>
      <c r="B49" s="201"/>
      <c r="C49" s="201"/>
      <c r="D49" s="201"/>
      <c r="E49" s="209"/>
    </row>
    <row r="50" spans="1:5" x14ac:dyDescent="0.2">
      <c r="A50" s="201"/>
      <c r="B50" s="201"/>
      <c r="C50" s="201"/>
      <c r="D50" s="201"/>
      <c r="E50" s="209"/>
    </row>
    <row r="51" spans="1:5" x14ac:dyDescent="0.2">
      <c r="A51" s="201"/>
      <c r="B51" s="201"/>
      <c r="C51" s="201"/>
      <c r="D51" s="201"/>
      <c r="E51" s="209"/>
    </row>
    <row r="52" spans="1:5" x14ac:dyDescent="0.2">
      <c r="A52" s="201"/>
      <c r="B52" s="201"/>
      <c r="C52" s="201"/>
      <c r="D52" s="201"/>
      <c r="E52" s="209"/>
    </row>
    <row r="53" spans="1:5" x14ac:dyDescent="0.2">
      <c r="A53" s="201"/>
      <c r="B53" s="201"/>
      <c r="C53" s="201"/>
      <c r="D53" s="201"/>
      <c r="E53" s="209"/>
    </row>
    <row r="54" spans="1:5" x14ac:dyDescent="0.2">
      <c r="A54" s="201"/>
      <c r="B54" s="201"/>
      <c r="C54" s="201"/>
      <c r="D54" s="201"/>
      <c r="E54" s="209"/>
    </row>
    <row r="55" spans="1:5" x14ac:dyDescent="0.2">
      <c r="A55" s="201"/>
      <c r="B55" s="201"/>
      <c r="C55" s="201"/>
      <c r="D55" s="201"/>
      <c r="E55" s="209"/>
    </row>
    <row r="56" spans="1:5" x14ac:dyDescent="0.2">
      <c r="A56" s="201"/>
      <c r="B56" s="201"/>
      <c r="C56" s="201"/>
      <c r="D56" s="201"/>
      <c r="E56" s="209"/>
    </row>
    <row r="57" spans="1:5" x14ac:dyDescent="0.2">
      <c r="A57" s="201"/>
      <c r="B57" s="201"/>
      <c r="C57" s="201"/>
      <c r="D57" s="201"/>
      <c r="E57" s="209"/>
    </row>
    <row r="58" spans="1:5" x14ac:dyDescent="0.2">
      <c r="A58" s="201"/>
      <c r="B58" s="201"/>
      <c r="C58" s="201"/>
      <c r="D58" s="201"/>
      <c r="E58" s="209"/>
    </row>
    <row r="59" spans="1:5" x14ac:dyDescent="0.2">
      <c r="A59" s="201"/>
      <c r="B59" s="201"/>
      <c r="C59" s="201"/>
      <c r="D59" s="201"/>
      <c r="E59" s="209"/>
    </row>
    <row r="60" spans="1:5" x14ac:dyDescent="0.2">
      <c r="A60" s="201"/>
      <c r="B60" s="201"/>
      <c r="C60" s="201"/>
      <c r="D60" s="201"/>
      <c r="E60" s="209"/>
    </row>
    <row r="61" spans="1:5" x14ac:dyDescent="0.2">
      <c r="A61" s="201"/>
      <c r="B61" s="201"/>
      <c r="C61" s="201"/>
      <c r="D61" s="201"/>
      <c r="E61" s="209"/>
    </row>
    <row r="62" spans="1:5" x14ac:dyDescent="0.2">
      <c r="A62" s="201"/>
      <c r="B62" s="201"/>
      <c r="C62" s="201"/>
      <c r="D62" s="201"/>
      <c r="E62" s="209"/>
    </row>
    <row r="63" spans="1:5" x14ac:dyDescent="0.2">
      <c r="A63" s="201"/>
      <c r="B63" s="201"/>
      <c r="C63" s="201"/>
      <c r="D63" s="201"/>
      <c r="E63" s="209"/>
    </row>
    <row r="64" spans="1:5" x14ac:dyDescent="0.2">
      <c r="A64" s="201"/>
      <c r="B64" s="201"/>
      <c r="C64" s="201"/>
      <c r="D64" s="201"/>
      <c r="E64" s="209"/>
    </row>
  </sheetData>
  <dataConsolidate/>
  <mergeCells count="15">
    <mergeCell ref="C11:E11"/>
    <mergeCell ref="C12:E12"/>
    <mergeCell ref="B4:E4"/>
    <mergeCell ref="C17:E17"/>
    <mergeCell ref="A2:E2"/>
    <mergeCell ref="A6:E6"/>
    <mergeCell ref="C7:E7"/>
    <mergeCell ref="C8:E8"/>
    <mergeCell ref="B15:D15"/>
    <mergeCell ref="C9:E9"/>
    <mergeCell ref="C10:E10"/>
    <mergeCell ref="C13:D13"/>
    <mergeCell ref="C14:E14"/>
    <mergeCell ref="A16:E16"/>
    <mergeCell ref="B5:E5"/>
  </mergeCells>
  <pageMargins left="0.75" right="0.75" top="1" bottom="1" header="0.5" footer="0.5"/>
  <pageSetup scale="85" fitToHeight="0" orientation="portrait" r:id="rId1"/>
  <headerFooter scaleWithDoc="0" alignWithMargins="0">
    <oddHeader>&amp;C&amp;8&amp;R&amp;8 Introduction</oddHeader>
    <oddFooter xml:space="preserve">&amp;L&amp;8 80-xxxxx-1 A
 &amp;C&amp;8
&amp;8Confidential and Proprietary – Qualcomm Technologies, Inc._x000D_&amp;"Arial,Bold"MAY CONTAIN U.S. AND INTERNATIONAL EXPORT CONTROLLED INFORMATION&amp;R&amp;8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85"/>
  <sheetViews>
    <sheetView zoomScaleNormal="100" workbookViewId="0"/>
  </sheetViews>
  <sheetFormatPr defaultRowHeight="15" x14ac:dyDescent="0.25"/>
  <cols>
    <col min="1" max="1" width="37.85546875" style="115" customWidth="1"/>
    <col min="2" max="2" width="18" style="116" bestFit="1" customWidth="1"/>
    <col min="3" max="3" width="47.28515625" style="115" customWidth="1"/>
    <col min="4" max="4" width="9.140625" style="115" customWidth="1"/>
    <col min="5" max="5" width="120.42578125" style="115" customWidth="1"/>
    <col min="6" max="6" width="14" style="115" bestFit="1" customWidth="1"/>
    <col min="7" max="7" width="11.42578125" style="115" customWidth="1"/>
    <col min="8" max="8" width="14" style="115" bestFit="1" customWidth="1"/>
    <col min="9" max="9" width="12.28515625" style="115" bestFit="1" customWidth="1"/>
    <col min="10" max="11" width="9.140625" style="115"/>
    <col min="12" max="12" width="83.42578125" style="115" customWidth="1"/>
    <col min="13" max="13" width="11.28515625" style="115" bestFit="1" customWidth="1"/>
    <col min="14" max="14" width="11.42578125" style="115" bestFit="1" customWidth="1"/>
    <col min="15" max="15" width="9.140625" style="115"/>
    <col min="16" max="16" width="15.28515625" style="115" bestFit="1" customWidth="1"/>
    <col min="17" max="17" width="16.140625" style="115" bestFit="1" customWidth="1"/>
    <col min="18" max="16384" width="9.140625" style="115"/>
  </cols>
  <sheetData>
    <row r="1" spans="1:15" x14ac:dyDescent="0.25">
      <c r="A1" s="129" t="s">
        <v>185</v>
      </c>
    </row>
    <row r="2" spans="1:15" x14ac:dyDescent="0.25">
      <c r="A2" s="132" t="s">
        <v>175</v>
      </c>
    </row>
    <row r="3" spans="1:15" x14ac:dyDescent="0.25">
      <c r="A3" s="122" t="s">
        <v>187</v>
      </c>
      <c r="G3" s="128"/>
      <c r="H3" s="128"/>
      <c r="I3" s="128"/>
    </row>
    <row r="4" spans="1:15" x14ac:dyDescent="0.25">
      <c r="A4" s="134" t="s">
        <v>186</v>
      </c>
      <c r="I4" s="128"/>
      <c r="M4" s="47"/>
      <c r="N4" s="47"/>
      <c r="O4" s="47"/>
    </row>
    <row r="5" spans="1:15" x14ac:dyDescent="0.25">
      <c r="M5" s="47"/>
      <c r="N5" s="47"/>
      <c r="O5" s="47"/>
    </row>
    <row r="6" spans="1:15" x14ac:dyDescent="0.25">
      <c r="A6" s="126" t="s">
        <v>174</v>
      </c>
      <c r="B6" s="127" t="s">
        <v>173</v>
      </c>
      <c r="C6" s="126" t="s">
        <v>172</v>
      </c>
    </row>
    <row r="7" spans="1:15" x14ac:dyDescent="0.25">
      <c r="A7" s="115" t="s">
        <v>171</v>
      </c>
      <c r="B7" s="154" t="s">
        <v>205</v>
      </c>
      <c r="E7" s="211" t="s">
        <v>221</v>
      </c>
    </row>
    <row r="8" spans="1:15" x14ac:dyDescent="0.25">
      <c r="A8" s="115" t="s">
        <v>170</v>
      </c>
      <c r="B8" s="155" t="s">
        <v>206</v>
      </c>
      <c r="E8" s="211" t="s">
        <v>221</v>
      </c>
    </row>
    <row r="9" spans="1:15" x14ac:dyDescent="0.25">
      <c r="A9" s="115" t="s">
        <v>169</v>
      </c>
      <c r="B9" s="156" t="s">
        <v>207</v>
      </c>
      <c r="E9" s="211" t="s">
        <v>221</v>
      </c>
    </row>
    <row r="10" spans="1:15" x14ac:dyDescent="0.25">
      <c r="A10" s="115" t="s">
        <v>168</v>
      </c>
      <c r="B10" s="129">
        <v>4.67</v>
      </c>
      <c r="C10" s="115" t="s">
        <v>167</v>
      </c>
      <c r="E10" s="211" t="s">
        <v>221</v>
      </c>
    </row>
    <row r="11" spans="1:15" x14ac:dyDescent="0.25">
      <c r="A11" s="115" t="s">
        <v>166</v>
      </c>
      <c r="B11" s="129">
        <v>1.55</v>
      </c>
      <c r="C11" s="115" t="s">
        <v>165</v>
      </c>
      <c r="E11" s="211" t="s">
        <v>221</v>
      </c>
    </row>
    <row r="12" spans="1:15" x14ac:dyDescent="0.25">
      <c r="A12" s="115" t="s">
        <v>164</v>
      </c>
      <c r="B12" s="129">
        <v>2</v>
      </c>
      <c r="E12" s="211" t="s">
        <v>221</v>
      </c>
    </row>
    <row r="13" spans="1:15" x14ac:dyDescent="0.25">
      <c r="A13" s="144" t="s">
        <v>202</v>
      </c>
      <c r="B13" s="174">
        <f>B11*2</f>
        <v>3.1</v>
      </c>
      <c r="C13" s="118" t="s">
        <v>163</v>
      </c>
    </row>
    <row r="14" spans="1:15" x14ac:dyDescent="0.25">
      <c r="A14" s="115" t="s">
        <v>162</v>
      </c>
      <c r="B14" s="174">
        <f>(B10^2)/(B12*B13) * 100</f>
        <v>351.75645161290316</v>
      </c>
    </row>
    <row r="16" spans="1:15" x14ac:dyDescent="0.25">
      <c r="A16" s="117" t="s">
        <v>161</v>
      </c>
    </row>
    <row r="17" spans="1:5" x14ac:dyDescent="0.25">
      <c r="A17" s="172" t="s">
        <v>223</v>
      </c>
      <c r="B17" s="129">
        <v>1</v>
      </c>
      <c r="E17" s="172" t="s">
        <v>222</v>
      </c>
    </row>
    <row r="18" spans="1:5" x14ac:dyDescent="0.25">
      <c r="A18" s="115" t="s">
        <v>160</v>
      </c>
      <c r="B18" s="157" t="s">
        <v>208</v>
      </c>
      <c r="C18" s="125">
        <f>IF(B17=1, (HEX2DEC(B18)), B18)</f>
        <v>53456</v>
      </c>
      <c r="E18" s="211" t="s">
        <v>244</v>
      </c>
    </row>
    <row r="19" spans="1:5" x14ac:dyDescent="0.25">
      <c r="A19" s="115" t="s">
        <v>159</v>
      </c>
      <c r="B19" s="129">
        <v>4068</v>
      </c>
      <c r="C19" s="125">
        <f>IF(B17=1,(HEX2DEC(B19)), B19)</f>
        <v>16488</v>
      </c>
      <c r="E19" s="211" t="s">
        <v>244</v>
      </c>
    </row>
    <row r="20" spans="1:5" x14ac:dyDescent="0.25">
      <c r="A20" s="144" t="s">
        <v>195</v>
      </c>
      <c r="B20" s="129">
        <v>12</v>
      </c>
      <c r="D20" s="121">
        <f>2^B20</f>
        <v>4096</v>
      </c>
      <c r="E20" s="181" t="s">
        <v>228</v>
      </c>
    </row>
    <row r="21" spans="1:5" x14ac:dyDescent="0.25">
      <c r="A21" s="144" t="s">
        <v>203</v>
      </c>
      <c r="B21" s="129">
        <v>16</v>
      </c>
      <c r="E21" s="172" t="s">
        <v>224</v>
      </c>
    </row>
    <row r="22" spans="1:5" x14ac:dyDescent="0.25">
      <c r="A22" s="115" t="s">
        <v>155</v>
      </c>
      <c r="B22" s="174">
        <f>ROUNDDOWN(C18/2^ABS(B20-B21),0)</f>
        <v>3341</v>
      </c>
      <c r="C22" s="115" t="s">
        <v>158</v>
      </c>
      <c r="E22" s="115" t="s">
        <v>156</v>
      </c>
    </row>
    <row r="23" spans="1:5" x14ac:dyDescent="0.25">
      <c r="A23" s="115" t="s">
        <v>153</v>
      </c>
      <c r="B23" s="174">
        <f>ROUNDDOWN(C19/2^ABS(B20-B21),0)</f>
        <v>1030</v>
      </c>
      <c r="C23" s="115" t="s">
        <v>157</v>
      </c>
      <c r="E23" s="115" t="s">
        <v>156</v>
      </c>
    </row>
    <row r="24" spans="1:5" x14ac:dyDescent="0.25">
      <c r="A24" s="115" t="s">
        <v>155</v>
      </c>
      <c r="B24" s="174">
        <f>IF(B22&gt;=(D20/2-1),B22-D20,B22)</f>
        <v>-755</v>
      </c>
      <c r="C24" s="115" t="s">
        <v>152</v>
      </c>
      <c r="E24" s="115" t="s">
        <v>154</v>
      </c>
    </row>
    <row r="25" spans="1:5" x14ac:dyDescent="0.25">
      <c r="A25" s="115" t="s">
        <v>153</v>
      </c>
      <c r="B25" s="174">
        <f>IF(B23&gt;=(D20/2-1),B23-D20,B23)</f>
        <v>1030</v>
      </c>
      <c r="C25" s="115" t="s">
        <v>152</v>
      </c>
      <c r="E25" s="115" t="s">
        <v>151</v>
      </c>
    </row>
    <row r="26" spans="1:5" x14ac:dyDescent="0.25">
      <c r="A26" s="115" t="s">
        <v>150</v>
      </c>
      <c r="B26" s="174">
        <f>ABS(B25-B24)+1</f>
        <v>1786</v>
      </c>
      <c r="C26" s="115" t="s">
        <v>149</v>
      </c>
      <c r="E26" s="115" t="s">
        <v>148</v>
      </c>
    </row>
    <row r="27" spans="1:5" x14ac:dyDescent="0.25">
      <c r="A27" s="124" t="s">
        <v>147</v>
      </c>
      <c r="B27" s="243">
        <v>12</v>
      </c>
      <c r="E27" s="211" t="s">
        <v>245</v>
      </c>
    </row>
    <row r="28" spans="1:5" x14ac:dyDescent="0.25">
      <c r="A28" s="115" t="s">
        <v>146</v>
      </c>
      <c r="B28" s="243">
        <v>6</v>
      </c>
      <c r="E28" s="211" t="s">
        <v>246</v>
      </c>
    </row>
    <row r="29" spans="1:5" x14ac:dyDescent="0.25">
      <c r="A29" s="115" t="s">
        <v>192</v>
      </c>
      <c r="B29" s="174">
        <f>IF(B24 &gt; 0, ROUNDDOWN(B24+(B28/100)*B26,0), ROUNDDOWN(B24-(B28/100)*B26,0))</f>
        <v>-862</v>
      </c>
      <c r="C29" s="118" t="s">
        <v>145</v>
      </c>
      <c r="E29" s="115" t="s">
        <v>144</v>
      </c>
    </row>
    <row r="30" spans="1:5" x14ac:dyDescent="0.25">
      <c r="A30" s="115" t="s">
        <v>193</v>
      </c>
      <c r="B30" s="174">
        <f>IF(B25 &gt; 0, ROUNDDOWN(B25+(B27/100)*B26,0), ROUNDDOWN(B25-(B27/100)*B26,0))</f>
        <v>1244</v>
      </c>
      <c r="C30" s="118" t="s">
        <v>143</v>
      </c>
      <c r="E30" s="115" t="s">
        <v>142</v>
      </c>
    </row>
    <row r="31" spans="1:5" x14ac:dyDescent="0.25">
      <c r="A31" s="115" t="s">
        <v>141</v>
      </c>
      <c r="B31" s="173">
        <f>IF(B29&lt;=(0),D20+B29-1,B29)</f>
        <v>3233</v>
      </c>
      <c r="C31" s="118"/>
      <c r="E31" s="115" t="s">
        <v>140</v>
      </c>
    </row>
    <row r="32" spans="1:5" x14ac:dyDescent="0.25">
      <c r="A32" s="115" t="s">
        <v>139</v>
      </c>
      <c r="B32" s="173">
        <f>IF(B30&lt;=(0),D20+B30,B30)</f>
        <v>1244</v>
      </c>
      <c r="C32" s="118"/>
      <c r="E32" s="115" t="s">
        <v>138</v>
      </c>
    </row>
    <row r="33" spans="1:5" x14ac:dyDescent="0.25">
      <c r="A33" s="115" t="s">
        <v>137</v>
      </c>
      <c r="B33" s="173">
        <f>ABS(B30-B29)+1</f>
        <v>2107</v>
      </c>
      <c r="C33" s="115" t="s">
        <v>136</v>
      </c>
      <c r="E33" s="115" t="s">
        <v>135</v>
      </c>
    </row>
    <row r="34" spans="1:5" x14ac:dyDescent="0.25">
      <c r="C34" s="181" t="s">
        <v>229</v>
      </c>
    </row>
    <row r="35" spans="1:5" x14ac:dyDescent="0.25">
      <c r="A35" s="117" t="s">
        <v>134</v>
      </c>
    </row>
    <row r="36" spans="1:5" x14ac:dyDescent="0.25">
      <c r="A36" s="115" t="s">
        <v>133</v>
      </c>
      <c r="B36" s="129">
        <v>128</v>
      </c>
      <c r="E36" s="211" t="s">
        <v>247</v>
      </c>
    </row>
    <row r="37" spans="1:5" x14ac:dyDescent="0.25">
      <c r="A37" s="115" t="s">
        <v>132</v>
      </c>
      <c r="B37" s="132">
        <v>400</v>
      </c>
      <c r="C37" s="123"/>
      <c r="E37" s="211" t="s">
        <v>248</v>
      </c>
    </row>
    <row r="38" spans="1:5" x14ac:dyDescent="0.25">
      <c r="A38" s="115" t="s">
        <v>131</v>
      </c>
      <c r="B38" s="132">
        <f>B31</f>
        <v>3233</v>
      </c>
      <c r="C38" s="115" t="s">
        <v>130</v>
      </c>
      <c r="E38" s="211" t="s">
        <v>129</v>
      </c>
    </row>
    <row r="39" spans="1:5" x14ac:dyDescent="0.25">
      <c r="A39" s="115" t="s">
        <v>128</v>
      </c>
      <c r="B39" s="132">
        <f>((B30-B29)/B37)*B36</f>
        <v>673.92</v>
      </c>
      <c r="C39" s="118" t="s">
        <v>127</v>
      </c>
    </row>
    <row r="40" spans="1:5" x14ac:dyDescent="0.25">
      <c r="A40" s="115" t="s">
        <v>126</v>
      </c>
      <c r="B40" s="132">
        <f>B36/B39</f>
        <v>0.18993352326685661</v>
      </c>
      <c r="C40" s="118" t="s">
        <v>125</v>
      </c>
    </row>
    <row r="41" spans="1:5" ht="15.75" thickBot="1" x14ac:dyDescent="0.3"/>
    <row r="42" spans="1:5" ht="16.5" thickTop="1" thickBot="1" x14ac:dyDescent="0.3">
      <c r="A42" s="117" t="s">
        <v>124</v>
      </c>
      <c r="B42" s="113">
        <v>6</v>
      </c>
      <c r="C42" s="115" t="s">
        <v>123</v>
      </c>
    </row>
    <row r="43" spans="1:5" ht="15.75" thickTop="1" x14ac:dyDescent="0.25">
      <c r="A43" s="115" t="s">
        <v>122</v>
      </c>
      <c r="B43" s="132">
        <f>B37-1</f>
        <v>399</v>
      </c>
      <c r="C43" s="115" t="s">
        <v>121</v>
      </c>
    </row>
    <row r="44" spans="1:5" x14ac:dyDescent="0.25">
      <c r="A44" s="115" t="s">
        <v>120</v>
      </c>
      <c r="B44" s="132">
        <f>B33</f>
        <v>2107</v>
      </c>
      <c r="C44" s="115" t="s">
        <v>119</v>
      </c>
    </row>
    <row r="45" spans="1:5" x14ac:dyDescent="0.25">
      <c r="A45" s="115" t="s">
        <v>118</v>
      </c>
      <c r="B45" s="129">
        <v>10</v>
      </c>
      <c r="C45" s="115" t="s">
        <v>117</v>
      </c>
      <c r="E45" s="181" t="s">
        <v>225</v>
      </c>
    </row>
    <row r="46" spans="1:5" x14ac:dyDescent="0.25">
      <c r="A46" s="115" t="s">
        <v>116</v>
      </c>
      <c r="B46" s="132">
        <f>B14</f>
        <v>351.75645161290316</v>
      </c>
      <c r="C46" s="115" t="s">
        <v>115</v>
      </c>
    </row>
    <row r="47" spans="1:5" x14ac:dyDescent="0.25">
      <c r="A47" s="115" t="s">
        <v>114</v>
      </c>
      <c r="B47" s="132">
        <f>(ABS((B10^2)*100*(1/B45-1/B46)) * (((B27+B28)/100)+1))</f>
        <v>250.02901999999997</v>
      </c>
      <c r="C47" s="118" t="s">
        <v>113</v>
      </c>
    </row>
    <row r="48" spans="1:5" x14ac:dyDescent="0.25">
      <c r="A48" s="115" t="s">
        <v>112</v>
      </c>
      <c r="B48" s="132">
        <f>B47/B33</f>
        <v>0.11866588514475557</v>
      </c>
      <c r="C48" s="118" t="s">
        <v>111</v>
      </c>
    </row>
    <row r="49" spans="1:12" x14ac:dyDescent="0.25">
      <c r="A49" s="115" t="s">
        <v>110</v>
      </c>
      <c r="B49" s="132">
        <f>(B33)/B43</f>
        <v>5.2807017543859649</v>
      </c>
      <c r="C49" s="161" t="s">
        <v>110</v>
      </c>
      <c r="D49" s="121">
        <f>1/B48</f>
        <v>8.4270217913104659</v>
      </c>
      <c r="E49" s="161" t="s">
        <v>213</v>
      </c>
    </row>
    <row r="50" spans="1:12" x14ac:dyDescent="0.25">
      <c r="A50" s="115" t="s">
        <v>109</v>
      </c>
      <c r="B50" s="132">
        <f>B49/D49</f>
        <v>0.62663914786967412</v>
      </c>
      <c r="C50" s="161" t="s">
        <v>109</v>
      </c>
      <c r="D50" s="120">
        <f>D49/B49</f>
        <v>1.595814757822912</v>
      </c>
      <c r="E50" s="161" t="s">
        <v>214</v>
      </c>
    </row>
    <row r="51" spans="1:12" x14ac:dyDescent="0.25">
      <c r="A51" s="115" t="s">
        <v>108</v>
      </c>
      <c r="B51" s="133">
        <f>B42*D50</f>
        <v>9.5748885469374727</v>
      </c>
      <c r="C51" s="115" t="s">
        <v>107</v>
      </c>
    </row>
    <row r="52" spans="1:12" x14ac:dyDescent="0.25">
      <c r="A52" s="115" t="s">
        <v>106</v>
      </c>
      <c r="B52" s="132">
        <f>B42*D49</f>
        <v>50.562130747862795</v>
      </c>
      <c r="C52" s="115" t="s">
        <v>105</v>
      </c>
    </row>
    <row r="53" spans="1:12" x14ac:dyDescent="0.25">
      <c r="A53" s="115" t="s">
        <v>104</v>
      </c>
      <c r="B53" s="132">
        <f>B49*B48</f>
        <v>0.62663914786967412</v>
      </c>
    </row>
    <row r="54" spans="1:12" x14ac:dyDescent="0.25">
      <c r="A54" s="171" t="s">
        <v>220</v>
      </c>
      <c r="B54" s="132">
        <f>B74*D50</f>
        <v>9.9071044603461651</v>
      </c>
      <c r="C54" s="118" t="s">
        <v>212</v>
      </c>
    </row>
    <row r="55" spans="1:12" x14ac:dyDescent="0.25">
      <c r="A55" s="115" t="s">
        <v>103</v>
      </c>
      <c r="B55" s="132">
        <f>B50*B54</f>
        <v>6.2081794968871682</v>
      </c>
      <c r="C55" s="118" t="s">
        <v>102</v>
      </c>
    </row>
    <row r="56" spans="1:12" x14ac:dyDescent="0.25">
      <c r="B56" s="119"/>
      <c r="C56" s="118"/>
    </row>
    <row r="58" spans="1:12" x14ac:dyDescent="0.25">
      <c r="A58" s="117" t="s">
        <v>101</v>
      </c>
    </row>
    <row r="59" spans="1:12" x14ac:dyDescent="0.25">
      <c r="A59" s="117"/>
    </row>
    <row r="60" spans="1:12" ht="15.75" x14ac:dyDescent="0.25">
      <c r="A60" s="42" t="s">
        <v>30</v>
      </c>
      <c r="B60" s="331">
        <f>DOF_bidirectional_actuator!J24</f>
        <v>0</v>
      </c>
      <c r="C60" s="331"/>
      <c r="D60" s="331"/>
      <c r="F60" s="265" t="s">
        <v>204</v>
      </c>
      <c r="G60" s="265"/>
      <c r="H60" s="265"/>
      <c r="I60" s="265"/>
      <c r="J60" s="265"/>
      <c r="K60" s="265"/>
      <c r="L60" s="23"/>
    </row>
    <row r="61" spans="1:12" ht="15.75" x14ac:dyDescent="0.25">
      <c r="A61" s="42" t="s">
        <v>31</v>
      </c>
      <c r="B61" s="331">
        <f>DOF_bidirectional_actuator!J23</f>
        <v>0</v>
      </c>
      <c r="C61" s="331"/>
      <c r="D61" s="331"/>
      <c r="F61" s="265" t="s">
        <v>52</v>
      </c>
      <c r="G61" s="265"/>
      <c r="H61" s="265"/>
      <c r="I61" s="265"/>
      <c r="J61" s="265"/>
      <c r="K61" s="265"/>
      <c r="L61" s="23"/>
    </row>
    <row r="62" spans="1:12" ht="15.75" x14ac:dyDescent="0.25">
      <c r="A62" s="42" t="s">
        <v>32</v>
      </c>
      <c r="B62" s="331">
        <f>DOF_bidirectional_actuator!J22</f>
        <v>23</v>
      </c>
      <c r="C62" s="331"/>
      <c r="D62" s="331"/>
      <c r="F62" s="43" t="s">
        <v>53</v>
      </c>
      <c r="G62" s="44">
        <f>ROUND(G67*0.8,0)</f>
        <v>10</v>
      </c>
      <c r="H62" s="44">
        <f t="shared" ref="H62:K62" si="0">ROUND(H67*0.8,0)</f>
        <v>11</v>
      </c>
      <c r="I62" s="44">
        <f t="shared" si="0"/>
        <v>14</v>
      </c>
      <c r="J62" s="44">
        <f t="shared" si="0"/>
        <v>16</v>
      </c>
      <c r="K62" s="44">
        <f t="shared" si="0"/>
        <v>19</v>
      </c>
      <c r="L62" s="45" t="s">
        <v>54</v>
      </c>
    </row>
    <row r="63" spans="1:12" ht="15.75" x14ac:dyDescent="0.25">
      <c r="A63" s="42" t="s">
        <v>33</v>
      </c>
      <c r="B63" s="331">
        <f>DOF_bidirectional_actuator!J21</f>
        <v>131</v>
      </c>
      <c r="C63" s="331"/>
      <c r="D63" s="331"/>
      <c r="F63" s="43" t="s">
        <v>53</v>
      </c>
      <c r="G63" s="44">
        <f t="shared" ref="G63:K63" si="1">ROUND(G68*0.8,0)</f>
        <v>14</v>
      </c>
      <c r="H63" s="44">
        <f t="shared" si="1"/>
        <v>18</v>
      </c>
      <c r="I63" s="44">
        <f t="shared" si="1"/>
        <v>21</v>
      </c>
      <c r="J63" s="44">
        <f t="shared" si="1"/>
        <v>25</v>
      </c>
      <c r="K63" s="44">
        <f t="shared" si="1"/>
        <v>30</v>
      </c>
      <c r="L63" s="45" t="s">
        <v>55</v>
      </c>
    </row>
    <row r="64" spans="1:12" ht="15.75" x14ac:dyDescent="0.25">
      <c r="A64" s="42" t="s">
        <v>34</v>
      </c>
      <c r="B64" s="331">
        <f>DOF_bidirectional_actuator!J20</f>
        <v>210</v>
      </c>
      <c r="C64" s="331"/>
      <c r="D64" s="331"/>
      <c r="F64" s="43" t="s">
        <v>53</v>
      </c>
      <c r="G64" s="44">
        <f t="shared" ref="G64:K64" si="2">ROUND(G69*0.8,0)</f>
        <v>3</v>
      </c>
      <c r="H64" s="44">
        <f t="shared" si="2"/>
        <v>4</v>
      </c>
      <c r="I64" s="44">
        <f t="shared" si="2"/>
        <v>5</v>
      </c>
      <c r="J64" s="44">
        <f t="shared" si="2"/>
        <v>6</v>
      </c>
      <c r="K64" s="44">
        <f t="shared" si="2"/>
        <v>6</v>
      </c>
      <c r="L64" s="45" t="s">
        <v>56</v>
      </c>
    </row>
    <row r="65" spans="1:12" ht="15.75" x14ac:dyDescent="0.25">
      <c r="A65" s="42" t="s">
        <v>35</v>
      </c>
      <c r="B65" s="331">
        <f>DOF_bidirectional_actuator!J19</f>
        <v>270</v>
      </c>
      <c r="C65" s="331"/>
      <c r="D65" s="331"/>
      <c r="F65" s="43" t="s">
        <v>53</v>
      </c>
      <c r="G65" s="44">
        <f t="shared" ref="G65:K65" si="3">ROUND(G70*0.8,0)</f>
        <v>5</v>
      </c>
      <c r="H65" s="44">
        <f t="shared" si="3"/>
        <v>6</v>
      </c>
      <c r="I65" s="44">
        <f t="shared" si="3"/>
        <v>6</v>
      </c>
      <c r="J65" s="44">
        <f t="shared" si="3"/>
        <v>8</v>
      </c>
      <c r="K65" s="44">
        <f t="shared" si="3"/>
        <v>10</v>
      </c>
      <c r="L65" s="45" t="s">
        <v>57</v>
      </c>
    </row>
    <row r="66" spans="1:12" ht="15.75" x14ac:dyDescent="0.25">
      <c r="A66" s="42" t="s">
        <v>36</v>
      </c>
      <c r="B66" s="331">
        <f>DOF_bidirectional_actuator!J18</f>
        <v>300</v>
      </c>
      <c r="C66" s="331"/>
      <c r="D66" s="331"/>
      <c r="F66" s="263" t="s">
        <v>58</v>
      </c>
      <c r="G66" s="263"/>
      <c r="H66" s="263"/>
      <c r="I66" s="263"/>
      <c r="J66" s="263"/>
      <c r="K66" s="263"/>
      <c r="L66" s="45"/>
    </row>
    <row r="67" spans="1:12" ht="15.75" x14ac:dyDescent="0.25">
      <c r="A67" s="42" t="s">
        <v>37</v>
      </c>
      <c r="B67" s="331">
        <f>DOF_bidirectional_actuator!J17</f>
        <v>318</v>
      </c>
      <c r="C67" s="331"/>
      <c r="D67" s="331"/>
      <c r="F67" s="43" t="s">
        <v>53</v>
      </c>
      <c r="G67" s="152">
        <f>DOF_bidirectional_actuator!L5</f>
        <v>12</v>
      </c>
      <c r="H67" s="153">
        <f>ROUND(G67*1.2,0)</f>
        <v>14</v>
      </c>
      <c r="I67" s="153">
        <f t="shared" ref="I67:K67" si="4">ROUND(H67*1.2,0)</f>
        <v>17</v>
      </c>
      <c r="J67" s="153">
        <f t="shared" si="4"/>
        <v>20</v>
      </c>
      <c r="K67" s="153">
        <f t="shared" si="4"/>
        <v>24</v>
      </c>
      <c r="L67" s="45" t="s">
        <v>54</v>
      </c>
    </row>
    <row r="68" spans="1:12" ht="15.75" x14ac:dyDescent="0.25">
      <c r="A68" s="42" t="s">
        <v>38</v>
      </c>
      <c r="B68" s="331">
        <f>DOF_bidirectional_actuator!J16</f>
        <v>329</v>
      </c>
      <c r="C68" s="331"/>
      <c r="D68" s="331"/>
      <c r="F68" s="43" t="s">
        <v>53</v>
      </c>
      <c r="G68" s="152">
        <f>G67*1.5</f>
        <v>18</v>
      </c>
      <c r="H68" s="153">
        <f>ROUND(G68*1.2,0)</f>
        <v>22</v>
      </c>
      <c r="I68" s="153">
        <f t="shared" ref="I68:K68" si="5">ROUND(H68*1.2,0)</f>
        <v>26</v>
      </c>
      <c r="J68" s="153">
        <f t="shared" si="5"/>
        <v>31</v>
      </c>
      <c r="K68" s="153">
        <f t="shared" si="5"/>
        <v>37</v>
      </c>
      <c r="L68" s="45" t="s">
        <v>55</v>
      </c>
    </row>
    <row r="69" spans="1:12" ht="15.75" x14ac:dyDescent="0.25">
      <c r="A69" s="42" t="s">
        <v>39</v>
      </c>
      <c r="B69" s="331">
        <f>DOF_bidirectional_actuator!J15</f>
        <v>359</v>
      </c>
      <c r="C69" s="331"/>
      <c r="D69" s="331"/>
      <c r="F69" s="43" t="s">
        <v>53</v>
      </c>
      <c r="G69" s="152">
        <f>DOF_bidirectional_actuator!L4</f>
        <v>4</v>
      </c>
      <c r="H69" s="153">
        <f t="shared" ref="H69:K70" si="6">ROUND(G69*1.2,0)</f>
        <v>5</v>
      </c>
      <c r="I69" s="153">
        <f t="shared" si="6"/>
        <v>6</v>
      </c>
      <c r="J69" s="153">
        <f t="shared" si="6"/>
        <v>7</v>
      </c>
      <c r="K69" s="153">
        <f t="shared" si="6"/>
        <v>8</v>
      </c>
      <c r="L69" s="45" t="s">
        <v>56</v>
      </c>
    </row>
    <row r="70" spans="1:12" ht="15.75" x14ac:dyDescent="0.25">
      <c r="A70" s="42" t="s">
        <v>201</v>
      </c>
      <c r="B70" s="332">
        <f>DOF_bidirectional_actuator!J32</f>
        <v>381</v>
      </c>
      <c r="C70" s="333"/>
      <c r="D70" s="334"/>
      <c r="F70" s="43" t="s">
        <v>53</v>
      </c>
      <c r="G70" s="152">
        <f>G69*1.5</f>
        <v>6</v>
      </c>
      <c r="H70" s="153">
        <f t="shared" si="6"/>
        <v>7</v>
      </c>
      <c r="I70" s="153">
        <f t="shared" si="6"/>
        <v>8</v>
      </c>
      <c r="J70" s="153">
        <f t="shared" si="6"/>
        <v>10</v>
      </c>
      <c r="K70" s="153">
        <f t="shared" si="6"/>
        <v>12</v>
      </c>
      <c r="L70" s="45" t="s">
        <v>57</v>
      </c>
    </row>
    <row r="71" spans="1:12" ht="15.75" x14ac:dyDescent="0.25">
      <c r="A71" s="42" t="s">
        <v>40</v>
      </c>
      <c r="B71" s="331">
        <f>DOF_bidirectional_actuator!J14</f>
        <v>399</v>
      </c>
      <c r="C71" s="331"/>
      <c r="D71" s="331"/>
      <c r="F71" s="20"/>
      <c r="G71" s="22"/>
      <c r="H71" s="46"/>
      <c r="I71" s="22"/>
      <c r="J71" s="22"/>
      <c r="K71" s="22"/>
      <c r="L71" s="45"/>
    </row>
    <row r="72" spans="1:12" ht="15.75" x14ac:dyDescent="0.25">
      <c r="A72" s="20"/>
      <c r="B72" s="20"/>
      <c r="C72" s="20"/>
      <c r="D72" s="20"/>
      <c r="F72" s="262" t="s">
        <v>59</v>
      </c>
      <c r="G72" s="262"/>
      <c r="H72" s="262"/>
      <c r="I72" s="262"/>
      <c r="J72" s="262"/>
      <c r="K72" s="262"/>
      <c r="L72" s="45"/>
    </row>
    <row r="73" spans="1:12" ht="15.75" x14ac:dyDescent="0.25">
      <c r="A73" s="21"/>
      <c r="B73" s="22"/>
      <c r="C73" s="22"/>
      <c r="D73" s="22"/>
      <c r="F73" s="263" t="s">
        <v>52</v>
      </c>
      <c r="G73" s="263"/>
      <c r="H73" s="263"/>
      <c r="I73" s="263"/>
      <c r="J73" s="263"/>
      <c r="K73" s="263"/>
      <c r="L73" s="45"/>
    </row>
    <row r="74" spans="1:12" ht="15.75" x14ac:dyDescent="0.25">
      <c r="A74" s="42" t="s">
        <v>42</v>
      </c>
      <c r="B74" s="335">
        <f>DOF_bidirectional_actuator!L3</f>
        <v>6.2081794968871691</v>
      </c>
      <c r="C74" s="335"/>
      <c r="D74" s="335"/>
      <c r="F74" s="43" t="s">
        <v>53</v>
      </c>
      <c r="G74" s="44">
        <f>ROUND(G62*0.8,0)</f>
        <v>8</v>
      </c>
      <c r="H74" s="44">
        <f>ROUND(H62*0.8,0)</f>
        <v>9</v>
      </c>
      <c r="I74" s="44">
        <f t="shared" ref="I74:K74" si="7">ROUND(I62*0.8,0)</f>
        <v>11</v>
      </c>
      <c r="J74" s="44">
        <f t="shared" si="7"/>
        <v>13</v>
      </c>
      <c r="K74" s="44">
        <f t="shared" si="7"/>
        <v>15</v>
      </c>
      <c r="L74" s="45" t="s">
        <v>54</v>
      </c>
    </row>
    <row r="75" spans="1:12" ht="15.75" x14ac:dyDescent="0.25">
      <c r="A75" s="42" t="s">
        <v>43</v>
      </c>
      <c r="B75" s="335">
        <f>DOF_bidirectional_actuator!L4</f>
        <v>4</v>
      </c>
      <c r="C75" s="335"/>
      <c r="D75" s="335"/>
      <c r="F75" s="43" t="s">
        <v>53</v>
      </c>
      <c r="G75" s="44">
        <f t="shared" ref="G75:K75" si="8">ROUND(G63*0.8,0)</f>
        <v>11</v>
      </c>
      <c r="H75" s="44">
        <f t="shared" si="8"/>
        <v>14</v>
      </c>
      <c r="I75" s="44">
        <f t="shared" si="8"/>
        <v>17</v>
      </c>
      <c r="J75" s="44">
        <f t="shared" si="8"/>
        <v>20</v>
      </c>
      <c r="K75" s="44">
        <f t="shared" si="8"/>
        <v>24</v>
      </c>
      <c r="L75" s="45" t="s">
        <v>55</v>
      </c>
    </row>
    <row r="76" spans="1:12" ht="15.75" x14ac:dyDescent="0.25">
      <c r="A76" s="42" t="s">
        <v>44</v>
      </c>
      <c r="B76" s="335">
        <f>DOF_bidirectional_actuator!F6</f>
        <v>2</v>
      </c>
      <c r="C76" s="335"/>
      <c r="D76" s="335"/>
      <c r="F76" s="43" t="s">
        <v>53</v>
      </c>
      <c r="G76" s="44">
        <f t="shared" ref="G76:K76" si="9">ROUND(G64*0.8,0)</f>
        <v>2</v>
      </c>
      <c r="H76" s="44">
        <f t="shared" si="9"/>
        <v>3</v>
      </c>
      <c r="I76" s="44">
        <f t="shared" si="9"/>
        <v>4</v>
      </c>
      <c r="J76" s="44">
        <f t="shared" si="9"/>
        <v>5</v>
      </c>
      <c r="K76" s="44">
        <f t="shared" si="9"/>
        <v>5</v>
      </c>
      <c r="L76" s="45" t="s">
        <v>56</v>
      </c>
    </row>
    <row r="77" spans="1:12" x14ac:dyDescent="0.25">
      <c r="A77" s="21"/>
      <c r="B77" s="22"/>
      <c r="C77" s="22"/>
      <c r="D77" s="22"/>
      <c r="F77" s="43" t="s">
        <v>53</v>
      </c>
      <c r="G77" s="44">
        <f t="shared" ref="G77:K77" si="10">ROUND(G65*0.8,0)</f>
        <v>4</v>
      </c>
      <c r="H77" s="44">
        <f t="shared" si="10"/>
        <v>5</v>
      </c>
      <c r="I77" s="44">
        <f t="shared" si="10"/>
        <v>5</v>
      </c>
      <c r="J77" s="44">
        <f t="shared" si="10"/>
        <v>6</v>
      </c>
      <c r="K77" s="44">
        <f t="shared" si="10"/>
        <v>8</v>
      </c>
      <c r="L77" s="45" t="s">
        <v>57</v>
      </c>
    </row>
    <row r="78" spans="1:12" ht="15.75" x14ac:dyDescent="0.25">
      <c r="A78" s="21"/>
      <c r="B78" s="22"/>
      <c r="C78" s="22"/>
      <c r="D78" s="22"/>
      <c r="F78" s="263" t="s">
        <v>58</v>
      </c>
      <c r="G78" s="263"/>
      <c r="H78" s="263"/>
      <c r="I78" s="263"/>
      <c r="J78" s="263"/>
      <c r="K78" s="263"/>
      <c r="L78" s="45"/>
    </row>
    <row r="79" spans="1:12" ht="15.75" x14ac:dyDescent="0.25">
      <c r="A79" s="42" t="s">
        <v>45</v>
      </c>
      <c r="B79" s="331">
        <v>0</v>
      </c>
      <c r="C79" s="331"/>
      <c r="D79" s="331"/>
      <c r="F79" s="43" t="s">
        <v>53</v>
      </c>
      <c r="G79" s="44">
        <f>ROUND(G67*0.8,0)</f>
        <v>10</v>
      </c>
      <c r="H79" s="44">
        <f t="shared" ref="H79:K79" si="11">ROUND(H67*0.8,0)</f>
        <v>11</v>
      </c>
      <c r="I79" s="44">
        <f t="shared" si="11"/>
        <v>14</v>
      </c>
      <c r="J79" s="44">
        <f t="shared" si="11"/>
        <v>16</v>
      </c>
      <c r="K79" s="44">
        <f t="shared" si="11"/>
        <v>19</v>
      </c>
      <c r="L79" s="45" t="s">
        <v>54</v>
      </c>
    </row>
    <row r="80" spans="1:12" ht="15.75" x14ac:dyDescent="0.25">
      <c r="A80" s="42" t="s">
        <v>46</v>
      </c>
      <c r="B80" s="331">
        <f>B63</f>
        <v>131</v>
      </c>
      <c r="C80" s="331"/>
      <c r="D80" s="331"/>
      <c r="F80" s="43" t="s">
        <v>53</v>
      </c>
      <c r="G80" s="44">
        <f t="shared" ref="G80:K80" si="12">ROUND(G68*0.8,0)</f>
        <v>14</v>
      </c>
      <c r="H80" s="44">
        <f t="shared" si="12"/>
        <v>18</v>
      </c>
      <c r="I80" s="44">
        <f t="shared" si="12"/>
        <v>21</v>
      </c>
      <c r="J80" s="44">
        <f t="shared" si="12"/>
        <v>25</v>
      </c>
      <c r="K80" s="44">
        <f t="shared" si="12"/>
        <v>30</v>
      </c>
      <c r="L80" s="45" t="s">
        <v>55</v>
      </c>
    </row>
    <row r="81" spans="1:12" ht="15.75" x14ac:dyDescent="0.25">
      <c r="A81" s="42" t="s">
        <v>47</v>
      </c>
      <c r="B81" s="331">
        <f>B67</f>
        <v>318</v>
      </c>
      <c r="C81" s="331"/>
      <c r="D81" s="331"/>
      <c r="F81" s="43" t="s">
        <v>53</v>
      </c>
      <c r="G81" s="44">
        <f t="shared" ref="G81:K81" si="13">ROUND(G69*0.8,0)</f>
        <v>3</v>
      </c>
      <c r="H81" s="44">
        <f t="shared" si="13"/>
        <v>4</v>
      </c>
      <c r="I81" s="44">
        <f t="shared" si="13"/>
        <v>5</v>
      </c>
      <c r="J81" s="44">
        <f t="shared" si="13"/>
        <v>6</v>
      </c>
      <c r="K81" s="44">
        <f t="shared" si="13"/>
        <v>6</v>
      </c>
      <c r="L81" s="45" t="s">
        <v>56</v>
      </c>
    </row>
    <row r="82" spans="1:12" ht="15.75" x14ac:dyDescent="0.25">
      <c r="A82" s="42" t="s">
        <v>48</v>
      </c>
      <c r="B82" s="331">
        <f>B69</f>
        <v>359</v>
      </c>
      <c r="C82" s="331"/>
      <c r="D82" s="331"/>
      <c r="F82" s="43" t="s">
        <v>53</v>
      </c>
      <c r="G82" s="44">
        <f t="shared" ref="G82:K82" si="14">ROUND(G70*0.8,0)</f>
        <v>5</v>
      </c>
      <c r="H82" s="44">
        <f t="shared" si="14"/>
        <v>6</v>
      </c>
      <c r="I82" s="44">
        <f t="shared" si="14"/>
        <v>6</v>
      </c>
      <c r="J82" s="44">
        <f t="shared" si="14"/>
        <v>8</v>
      </c>
      <c r="K82" s="44">
        <f t="shared" si="14"/>
        <v>10</v>
      </c>
      <c r="L82" s="45" t="s">
        <v>57</v>
      </c>
    </row>
    <row r="83" spans="1:12" ht="15.75" x14ac:dyDescent="0.25">
      <c r="A83" s="42" t="s">
        <v>49</v>
      </c>
      <c r="B83" s="331">
        <f>B71</f>
        <v>399</v>
      </c>
      <c r="C83" s="331"/>
      <c r="D83" s="331"/>
    </row>
    <row r="84" spans="1:12" ht="15.75" x14ac:dyDescent="0.25">
      <c r="A84" s="42" t="s">
        <v>41</v>
      </c>
      <c r="B84" s="331">
        <f>DOF_bidirectional_actuator!J32</f>
        <v>381</v>
      </c>
      <c r="C84" s="331"/>
      <c r="D84" s="331"/>
    </row>
    <row r="85" spans="1:12" ht="15.75" x14ac:dyDescent="0.25">
      <c r="A85" s="42" t="s">
        <v>50</v>
      </c>
      <c r="B85" s="331">
        <f>B64</f>
        <v>210</v>
      </c>
      <c r="C85" s="331"/>
      <c r="D85" s="331"/>
    </row>
  </sheetData>
  <protectedRanges>
    <protectedRange sqref="B45" name="Range5"/>
    <protectedRange sqref="B7:B12" name="Range1"/>
    <protectedRange sqref="B17:B21" name="Range2"/>
    <protectedRange sqref="B27:B28" name="Range3"/>
    <protectedRange sqref="B36:B37" name="Range4"/>
  </protectedRanges>
  <mergeCells count="28">
    <mergeCell ref="F78:K78"/>
    <mergeCell ref="F60:K60"/>
    <mergeCell ref="F61:K61"/>
    <mergeCell ref="F66:K66"/>
    <mergeCell ref="F72:K72"/>
    <mergeCell ref="F73:K73"/>
    <mergeCell ref="B82:D82"/>
    <mergeCell ref="B83:D83"/>
    <mergeCell ref="B84:D84"/>
    <mergeCell ref="B85:D85"/>
    <mergeCell ref="B74:D74"/>
    <mergeCell ref="B75:D75"/>
    <mergeCell ref="B76:D76"/>
    <mergeCell ref="B79:D79"/>
    <mergeCell ref="B80:D80"/>
    <mergeCell ref="B81:D81"/>
    <mergeCell ref="B60:D60"/>
    <mergeCell ref="B61:D61"/>
    <mergeCell ref="B62:D62"/>
    <mergeCell ref="B63:D63"/>
    <mergeCell ref="B64:D64"/>
    <mergeCell ref="B71:D71"/>
    <mergeCell ref="B70:D70"/>
    <mergeCell ref="B65:D65"/>
    <mergeCell ref="B66:D66"/>
    <mergeCell ref="B67:D67"/>
    <mergeCell ref="B68:D68"/>
    <mergeCell ref="B69:D6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332"/>
  <sheetViews>
    <sheetView zoomScaleNormal="100" workbookViewId="0"/>
  </sheetViews>
  <sheetFormatPr defaultRowHeight="15" x14ac:dyDescent="0.25"/>
  <cols>
    <col min="1" max="1" width="9.140625" style="115"/>
    <col min="2" max="2" width="25.140625" style="115" customWidth="1"/>
    <col min="3" max="3" width="17.140625" style="115" customWidth="1"/>
    <col min="4" max="4" width="28.42578125" style="137" customWidth="1"/>
    <col min="5" max="5" width="35.5703125" style="137" customWidth="1"/>
    <col min="6" max="6" width="27.85546875" style="137" customWidth="1"/>
    <col min="7" max="7" width="19.7109375" style="115" customWidth="1"/>
    <col min="8" max="8" width="37.42578125" style="115" customWidth="1"/>
    <col min="9" max="16384" width="9.140625" style="115"/>
  </cols>
  <sheetData>
    <row r="1" spans="2:9" x14ac:dyDescent="0.25">
      <c r="B1" s="175" t="s">
        <v>226</v>
      </c>
    </row>
    <row r="2" spans="2:9" x14ac:dyDescent="0.25">
      <c r="B2" s="131" t="s">
        <v>176</v>
      </c>
      <c r="C2" s="131">
        <f>Customer_sheet_bidirectional!B39</f>
        <v>673.92</v>
      </c>
    </row>
    <row r="3" spans="2:9" x14ac:dyDescent="0.25">
      <c r="B3" s="131" t="s">
        <v>177</v>
      </c>
      <c r="C3" s="131">
        <f>Customer_sheet_bidirectional!B36</f>
        <v>128</v>
      </c>
    </row>
    <row r="4" spans="2:9" x14ac:dyDescent="0.25">
      <c r="B4" s="131" t="s">
        <v>178</v>
      </c>
      <c r="C4" s="131">
        <f>Customer_sheet_bidirectional!D20-1</f>
        <v>4095</v>
      </c>
    </row>
    <row r="5" spans="2:9" ht="15.75" thickBot="1" x14ac:dyDescent="0.3"/>
    <row r="6" spans="2:9" x14ac:dyDescent="0.25">
      <c r="D6" s="138" t="s">
        <v>179</v>
      </c>
      <c r="E6" s="139" t="s">
        <v>180</v>
      </c>
      <c r="F6" s="140" t="s">
        <v>179</v>
      </c>
      <c r="G6" s="47"/>
      <c r="H6" s="47"/>
      <c r="I6" s="114"/>
    </row>
    <row r="7" spans="2:9" ht="15.75" thickBot="1" x14ac:dyDescent="0.3">
      <c r="D7" s="141" t="s">
        <v>181</v>
      </c>
      <c r="E7" s="142"/>
      <c r="F7" s="143" t="s">
        <v>182</v>
      </c>
      <c r="G7" s="47"/>
      <c r="H7" s="47"/>
      <c r="I7" s="114"/>
    </row>
    <row r="8" spans="2:9" x14ac:dyDescent="0.25">
      <c r="D8" s="137">
        <v>0</v>
      </c>
      <c r="E8" s="137">
        <f>Customer_sheet_bidirectional!B38</f>
        <v>3233</v>
      </c>
      <c r="F8" s="137">
        <f>(Customer_sheet_bidirectional!B$43-DAC_to_Logical_index!D8)</f>
        <v>399</v>
      </c>
    </row>
    <row r="9" spans="2:9" x14ac:dyDescent="0.25">
      <c r="D9" s="137">
        <f t="shared" ref="D9:D72" si="0">D8+1</f>
        <v>1</v>
      </c>
      <c r="E9" s="137">
        <f>_xlfn.BITAND(IF(ROUNDDOWN((E$8)+((D9*C$2)/C$3),0) &gt; 0, ROUNDDOWN((E$8)+((D9*C$2)/C$3),0), Customer_sheet_bidirectional!D$20 + ROUNDDOWN((E$8)+((D9*C$2)/C$3),0)),C$4)</f>
        <v>3238</v>
      </c>
      <c r="F9" s="137">
        <f>(Customer_sheet_bidirectional!B$43-DAC_to_Logical_index!D9)</f>
        <v>398</v>
      </c>
    </row>
    <row r="10" spans="2:9" x14ac:dyDescent="0.25">
      <c r="D10" s="137">
        <f t="shared" si="0"/>
        <v>2</v>
      </c>
      <c r="E10" s="137">
        <f>_xlfn.BITAND(IF(ROUNDDOWN((E$8)+((D10*C$2)/C$3),0) &gt; 0, ROUNDDOWN((E$8)+((D10*C$2)/C$3),0), Customer_sheet_bidirectional!D$20 + ROUNDDOWN((E$8)+((D10*C$2)/C$3),0)),C$4)</f>
        <v>3243</v>
      </c>
      <c r="F10" s="137">
        <f>(Customer_sheet_bidirectional!B$43-DAC_to_Logical_index!D10)</f>
        <v>397</v>
      </c>
    </row>
    <row r="11" spans="2:9" x14ac:dyDescent="0.25">
      <c r="D11" s="137">
        <f t="shared" si="0"/>
        <v>3</v>
      </c>
      <c r="E11" s="137">
        <f>_xlfn.BITAND(IF(ROUNDDOWN((E$8)+((D11*C$2)/C$3),0) &gt; 0, ROUNDDOWN((E$8)+((D11*C$2)/C$3),0), Customer_sheet_bidirectional!D$20 + ROUNDDOWN((E$8)+((D11*C$2)/C$3),0)),C$4)</f>
        <v>3248</v>
      </c>
      <c r="F11" s="137">
        <f>(Customer_sheet_bidirectional!B$43-DAC_to_Logical_index!D11)</f>
        <v>396</v>
      </c>
    </row>
    <row r="12" spans="2:9" x14ac:dyDescent="0.25">
      <c r="D12" s="137">
        <f t="shared" si="0"/>
        <v>4</v>
      </c>
      <c r="E12" s="137">
        <f>_xlfn.BITAND(IF(ROUNDDOWN((E$8)+((D12*C$2)/C$3),0) &gt; 0, ROUNDDOWN((E$8)+((D12*C$2)/C$3),0), Customer_sheet_bidirectional!D$20 + ROUNDDOWN((E$8)+((D12*C$2)/C$3),0)),C$4)</f>
        <v>3254</v>
      </c>
      <c r="F12" s="137">
        <f>(Customer_sheet_bidirectional!B$43-DAC_to_Logical_index!D12)</f>
        <v>395</v>
      </c>
    </row>
    <row r="13" spans="2:9" x14ac:dyDescent="0.25">
      <c r="D13" s="137">
        <f t="shared" si="0"/>
        <v>5</v>
      </c>
      <c r="E13" s="137">
        <f>_xlfn.BITAND(IF(ROUNDDOWN((E$8)+((D13*C$2)/C$3),0) &gt; 0, ROUNDDOWN((E$8)+((D13*C$2)/C$3),0), Customer_sheet_bidirectional!D$20 + ROUNDDOWN((E$8)+((D13*C$2)/C$3),0)),C$4)</f>
        <v>3259</v>
      </c>
      <c r="F13" s="137">
        <f>(Customer_sheet_bidirectional!B$43-DAC_to_Logical_index!D13)</f>
        <v>394</v>
      </c>
    </row>
    <row r="14" spans="2:9" x14ac:dyDescent="0.25">
      <c r="D14" s="137">
        <f t="shared" si="0"/>
        <v>6</v>
      </c>
      <c r="E14" s="137">
        <f>_xlfn.BITAND(IF(ROUNDDOWN((E$8)+((D14*C$2)/C$3),0) &gt; 0, ROUNDDOWN((E$8)+((D14*C$2)/C$3),0), Customer_sheet_bidirectional!D$20 + ROUNDDOWN((E$8)+((D14*C$2)/C$3),0)),C$4)</f>
        <v>3264</v>
      </c>
      <c r="F14" s="137">
        <f>(Customer_sheet_bidirectional!B$43-DAC_to_Logical_index!D14)</f>
        <v>393</v>
      </c>
    </row>
    <row r="15" spans="2:9" x14ac:dyDescent="0.25">
      <c r="D15" s="137">
        <f t="shared" si="0"/>
        <v>7</v>
      </c>
      <c r="E15" s="137">
        <f>_xlfn.BITAND(IF(ROUNDDOWN((E$8)+((D15*C$2)/C$3),0) &gt; 0, ROUNDDOWN((E$8)+((D15*C$2)/C$3),0), Customer_sheet_bidirectional!D$20 + ROUNDDOWN((E$8)+((D15*C$2)/C$3),0)),C$4)</f>
        <v>3269</v>
      </c>
      <c r="F15" s="137">
        <f>(Customer_sheet_bidirectional!B$43-DAC_to_Logical_index!D15)</f>
        <v>392</v>
      </c>
    </row>
    <row r="16" spans="2:9" x14ac:dyDescent="0.25">
      <c r="D16" s="137">
        <f t="shared" si="0"/>
        <v>8</v>
      </c>
      <c r="E16" s="137">
        <f>_xlfn.BITAND(IF(ROUNDDOWN((E$8)+((D16*C$2)/C$3),0) &gt; 0, ROUNDDOWN((E$8)+((D16*C$2)/C$3),0), Customer_sheet_bidirectional!D$20 + ROUNDDOWN((E$8)+((D16*C$2)/C$3),0)),C$4)</f>
        <v>3275</v>
      </c>
      <c r="F16" s="137">
        <f>(Customer_sheet_bidirectional!B$43-DAC_to_Logical_index!D16)</f>
        <v>391</v>
      </c>
    </row>
    <row r="17" spans="4:6" x14ac:dyDescent="0.25">
      <c r="D17" s="137">
        <f t="shared" si="0"/>
        <v>9</v>
      </c>
      <c r="E17" s="137">
        <f>_xlfn.BITAND(IF(ROUNDDOWN((E$8)+((D17*C$2)/C$3),0) &gt; 0, ROUNDDOWN((E$8)+((D17*C$2)/C$3),0), Customer_sheet_bidirectional!D$20 + ROUNDDOWN((E$8)+((D17*C$2)/C$3),0)),C$4)</f>
        <v>3280</v>
      </c>
      <c r="F17" s="137">
        <f>(Customer_sheet_bidirectional!B$43-DAC_to_Logical_index!D17)</f>
        <v>390</v>
      </c>
    </row>
    <row r="18" spans="4:6" x14ac:dyDescent="0.25">
      <c r="D18" s="137">
        <f t="shared" si="0"/>
        <v>10</v>
      </c>
      <c r="E18" s="137">
        <f>_xlfn.BITAND(IF(ROUNDDOWN((E$8)+((D18*C$2)/C$3),0) &gt; 0, ROUNDDOWN((E$8)+((D18*C$2)/C$3),0), Customer_sheet_bidirectional!D$20 + ROUNDDOWN((E$8)+((D18*C$2)/C$3),0)),C$4)</f>
        <v>3285</v>
      </c>
      <c r="F18" s="137">
        <f>(Customer_sheet_bidirectional!B$43-DAC_to_Logical_index!D18)</f>
        <v>389</v>
      </c>
    </row>
    <row r="19" spans="4:6" x14ac:dyDescent="0.25">
      <c r="D19" s="137">
        <f t="shared" si="0"/>
        <v>11</v>
      </c>
      <c r="E19" s="137">
        <f>_xlfn.BITAND(IF(ROUNDDOWN((E$8)+((D19*C$2)/C$3),0) &gt; 0, ROUNDDOWN((E$8)+((D19*C$2)/C$3),0), Customer_sheet_bidirectional!D$20 + ROUNDDOWN((E$8)+((D19*C$2)/C$3),0)),C$4)</f>
        <v>3290</v>
      </c>
      <c r="F19" s="137">
        <f>(Customer_sheet_bidirectional!B$43-DAC_to_Logical_index!D19)</f>
        <v>388</v>
      </c>
    </row>
    <row r="20" spans="4:6" x14ac:dyDescent="0.25">
      <c r="D20" s="137">
        <f t="shared" si="0"/>
        <v>12</v>
      </c>
      <c r="E20" s="137">
        <f>_xlfn.BITAND(IF(ROUNDDOWN((E$8)+((D20*C$2)/C$3),0) &gt; 0, ROUNDDOWN((E$8)+((D20*C$2)/C$3),0), Customer_sheet_bidirectional!D$20 + ROUNDDOWN((E$8)+((D20*C$2)/C$3),0)),C$4)</f>
        <v>3296</v>
      </c>
      <c r="F20" s="137">
        <f>(Customer_sheet_bidirectional!B$43-DAC_to_Logical_index!D20)</f>
        <v>387</v>
      </c>
    </row>
    <row r="21" spans="4:6" x14ac:dyDescent="0.25">
      <c r="D21" s="137">
        <f t="shared" si="0"/>
        <v>13</v>
      </c>
      <c r="E21" s="137">
        <f>_xlfn.BITAND(IF(ROUNDDOWN((E$8)+((D21*C$2)/C$3),0) &gt; 0, ROUNDDOWN((E$8)+((D21*C$2)/C$3),0), Customer_sheet_bidirectional!D$20 + ROUNDDOWN((E$8)+((D21*C$2)/C$3),0)),C$4)</f>
        <v>3301</v>
      </c>
      <c r="F21" s="137">
        <f>(Customer_sheet_bidirectional!B$43-DAC_to_Logical_index!D21)</f>
        <v>386</v>
      </c>
    </row>
    <row r="22" spans="4:6" x14ac:dyDescent="0.25">
      <c r="D22" s="137">
        <f t="shared" si="0"/>
        <v>14</v>
      </c>
      <c r="E22" s="137">
        <f>_xlfn.BITAND(IF(ROUNDDOWN((E$8)+((D22*C$2)/C$3),0) &gt; 0, ROUNDDOWN((E$8)+((D22*C$2)/C$3),0), Customer_sheet_bidirectional!D$20 + ROUNDDOWN((E$8)+((D22*C$2)/C$3),0)),C$4)</f>
        <v>3306</v>
      </c>
      <c r="F22" s="137">
        <f>(Customer_sheet_bidirectional!B$43-DAC_to_Logical_index!D22)</f>
        <v>385</v>
      </c>
    </row>
    <row r="23" spans="4:6" x14ac:dyDescent="0.25">
      <c r="D23" s="137">
        <f t="shared" si="0"/>
        <v>15</v>
      </c>
      <c r="E23" s="137">
        <f>_xlfn.BITAND(IF(ROUNDDOWN((E$8)+((D23*C$2)/C$3),0) &gt; 0, ROUNDDOWN((E$8)+((D23*C$2)/C$3),0), Customer_sheet_bidirectional!D$20 + ROUNDDOWN((E$8)+((D23*C$2)/C$3),0)),C$4)</f>
        <v>3311</v>
      </c>
      <c r="F23" s="137">
        <f>(Customer_sheet_bidirectional!B$43-DAC_to_Logical_index!D23)</f>
        <v>384</v>
      </c>
    </row>
    <row r="24" spans="4:6" x14ac:dyDescent="0.25">
      <c r="D24" s="137">
        <f t="shared" si="0"/>
        <v>16</v>
      </c>
      <c r="E24" s="137">
        <f>_xlfn.BITAND(IF(ROUNDDOWN((E$8)+((D24*C$2)/C$3),0) &gt; 0, ROUNDDOWN((E$8)+((D24*C$2)/C$3),0), Customer_sheet_bidirectional!D$20 + ROUNDDOWN((E$8)+((D24*C$2)/C$3),0)),C$4)</f>
        <v>3317</v>
      </c>
      <c r="F24" s="137">
        <f>(Customer_sheet_bidirectional!B$43-DAC_to_Logical_index!D24)</f>
        <v>383</v>
      </c>
    </row>
    <row r="25" spans="4:6" x14ac:dyDescent="0.25">
      <c r="D25" s="137">
        <f t="shared" si="0"/>
        <v>17</v>
      </c>
      <c r="E25" s="137">
        <f>_xlfn.BITAND(IF(ROUNDDOWN((E$8)+((D25*C$2)/C$3),0) &gt; 0, ROUNDDOWN((E$8)+((D25*C$2)/C$3),0), Customer_sheet_bidirectional!D$20 + ROUNDDOWN((E$8)+((D25*C$2)/C$3),0)),C$4)</f>
        <v>3322</v>
      </c>
      <c r="F25" s="137">
        <f>(Customer_sheet_bidirectional!B$43-DAC_to_Logical_index!D25)</f>
        <v>382</v>
      </c>
    </row>
    <row r="26" spans="4:6" x14ac:dyDescent="0.25">
      <c r="D26" s="137">
        <f t="shared" si="0"/>
        <v>18</v>
      </c>
      <c r="E26" s="137">
        <f>_xlfn.BITAND(IF(ROUNDDOWN((E$8)+((D26*C$2)/C$3),0) &gt; 0, ROUNDDOWN((E$8)+((D26*C$2)/C$3),0), Customer_sheet_bidirectional!D$20 + ROUNDDOWN((E$8)+((D26*C$2)/C$3),0)),C$4)</f>
        <v>3327</v>
      </c>
      <c r="F26" s="137">
        <f>(Customer_sheet_bidirectional!B$43-DAC_to_Logical_index!D26)</f>
        <v>381</v>
      </c>
    </row>
    <row r="27" spans="4:6" x14ac:dyDescent="0.25">
      <c r="D27" s="137">
        <f t="shared" si="0"/>
        <v>19</v>
      </c>
      <c r="E27" s="137">
        <f>_xlfn.BITAND(IF(ROUNDDOWN((E$8)+((D27*C$2)/C$3),0) &gt; 0, ROUNDDOWN((E$8)+((D27*C$2)/C$3),0), Customer_sheet_bidirectional!D$20 + ROUNDDOWN((E$8)+((D27*C$2)/C$3),0)),C$4)</f>
        <v>3333</v>
      </c>
      <c r="F27" s="137">
        <f>(Customer_sheet_bidirectional!B$43-DAC_to_Logical_index!D27)</f>
        <v>380</v>
      </c>
    </row>
    <row r="28" spans="4:6" x14ac:dyDescent="0.25">
      <c r="D28" s="137">
        <f t="shared" si="0"/>
        <v>20</v>
      </c>
      <c r="E28" s="137">
        <f>_xlfn.BITAND(IF(ROUNDDOWN((E$8)+((D28*C$2)/C$3),0) &gt; 0, ROUNDDOWN((E$8)+((D28*C$2)/C$3),0), Customer_sheet_bidirectional!D$20 + ROUNDDOWN((E$8)+((D28*C$2)/C$3),0)),C$4)</f>
        <v>3338</v>
      </c>
      <c r="F28" s="137">
        <f>(Customer_sheet_bidirectional!B$43-DAC_to_Logical_index!D28)</f>
        <v>379</v>
      </c>
    </row>
    <row r="29" spans="4:6" x14ac:dyDescent="0.25">
      <c r="D29" s="137">
        <f t="shared" si="0"/>
        <v>21</v>
      </c>
      <c r="E29" s="137">
        <f>_xlfn.BITAND(IF(ROUNDDOWN((E$8)+((D29*C$2)/C$3),0) &gt; 0, ROUNDDOWN((E$8)+((D29*C$2)/C$3),0), Customer_sheet_bidirectional!D$20 + ROUNDDOWN((E$8)+((D29*C$2)/C$3),0)),C$4)</f>
        <v>3343</v>
      </c>
      <c r="F29" s="137">
        <f>(Customer_sheet_bidirectional!B$43-DAC_to_Logical_index!D29)</f>
        <v>378</v>
      </c>
    </row>
    <row r="30" spans="4:6" x14ac:dyDescent="0.25">
      <c r="D30" s="137">
        <f t="shared" si="0"/>
        <v>22</v>
      </c>
      <c r="E30" s="137">
        <f>_xlfn.BITAND(IF(ROUNDDOWN((E$8)+((D30*C$2)/C$3),0) &gt; 0, ROUNDDOWN((E$8)+((D30*C$2)/C$3),0), Customer_sheet_bidirectional!D$20 + ROUNDDOWN((E$8)+((D30*C$2)/C$3),0)),C$4)</f>
        <v>3348</v>
      </c>
      <c r="F30" s="137">
        <f>(Customer_sheet_bidirectional!B$43-DAC_to_Logical_index!D30)</f>
        <v>377</v>
      </c>
    </row>
    <row r="31" spans="4:6" x14ac:dyDescent="0.25">
      <c r="D31" s="137">
        <f t="shared" si="0"/>
        <v>23</v>
      </c>
      <c r="E31" s="137">
        <f>_xlfn.BITAND(IF(ROUNDDOWN((E$8)+((D31*C$2)/C$3),0) &gt; 0, ROUNDDOWN((E$8)+((D31*C$2)/C$3),0), Customer_sheet_bidirectional!D$20 + ROUNDDOWN((E$8)+((D31*C$2)/C$3),0)),C$4)</f>
        <v>3354</v>
      </c>
      <c r="F31" s="137">
        <f>(Customer_sheet_bidirectional!B$43-DAC_to_Logical_index!D31)</f>
        <v>376</v>
      </c>
    </row>
    <row r="32" spans="4:6" x14ac:dyDescent="0.25">
      <c r="D32" s="137">
        <f t="shared" si="0"/>
        <v>24</v>
      </c>
      <c r="E32" s="137">
        <f>_xlfn.BITAND(IF(ROUNDDOWN((E$8)+((D32*C$2)/C$3),0) &gt; 0, ROUNDDOWN((E$8)+((D32*C$2)/C$3),0), Customer_sheet_bidirectional!D$20 + ROUNDDOWN((E$8)+((D32*C$2)/C$3),0)),C$4)</f>
        <v>3359</v>
      </c>
      <c r="F32" s="137">
        <f>(Customer_sheet_bidirectional!B$43-DAC_to_Logical_index!D32)</f>
        <v>375</v>
      </c>
    </row>
    <row r="33" spans="4:6" x14ac:dyDescent="0.25">
      <c r="D33" s="137">
        <f t="shared" si="0"/>
        <v>25</v>
      </c>
      <c r="E33" s="137">
        <f>_xlfn.BITAND(IF(ROUNDDOWN((E$8)+((D33*C$2)/C$3),0) &gt; 0, ROUNDDOWN((E$8)+((D33*C$2)/C$3),0), Customer_sheet_bidirectional!D$20 + ROUNDDOWN((E$8)+((D33*C$2)/C$3),0)),C$4)</f>
        <v>3364</v>
      </c>
      <c r="F33" s="137">
        <f>(Customer_sheet_bidirectional!B$43-DAC_to_Logical_index!D33)</f>
        <v>374</v>
      </c>
    </row>
    <row r="34" spans="4:6" x14ac:dyDescent="0.25">
      <c r="D34" s="137">
        <f t="shared" si="0"/>
        <v>26</v>
      </c>
      <c r="E34" s="137">
        <f>_xlfn.BITAND(IF(ROUNDDOWN((E$8)+((D34*C$2)/C$3),0) &gt; 0, ROUNDDOWN((E$8)+((D34*C$2)/C$3),0), Customer_sheet_bidirectional!D$20 + ROUNDDOWN((E$8)+((D34*C$2)/C$3),0)),C$4)</f>
        <v>3369</v>
      </c>
      <c r="F34" s="137">
        <f>(Customer_sheet_bidirectional!B$43-DAC_to_Logical_index!D34)</f>
        <v>373</v>
      </c>
    </row>
    <row r="35" spans="4:6" x14ac:dyDescent="0.25">
      <c r="D35" s="137">
        <f t="shared" si="0"/>
        <v>27</v>
      </c>
      <c r="E35" s="137">
        <f>_xlfn.BITAND(IF(ROUNDDOWN((E$8)+((D35*C$2)/C$3),0) &gt; 0, ROUNDDOWN((E$8)+((D35*C$2)/C$3),0), Customer_sheet_bidirectional!D$20 + ROUNDDOWN((E$8)+((D35*C$2)/C$3),0)),C$4)</f>
        <v>3375</v>
      </c>
      <c r="F35" s="137">
        <f>(Customer_sheet_bidirectional!B$43-DAC_to_Logical_index!D35)</f>
        <v>372</v>
      </c>
    </row>
    <row r="36" spans="4:6" x14ac:dyDescent="0.25">
      <c r="D36" s="137">
        <f t="shared" si="0"/>
        <v>28</v>
      </c>
      <c r="E36" s="137">
        <f>_xlfn.BITAND(IF(ROUNDDOWN((E$8)+((D36*C$2)/C$3),0) &gt; 0, ROUNDDOWN((E$8)+((D36*C$2)/C$3),0), Customer_sheet_bidirectional!D$20 + ROUNDDOWN((E$8)+((D36*C$2)/C$3),0)),C$4)</f>
        <v>3380</v>
      </c>
      <c r="F36" s="137">
        <f>(Customer_sheet_bidirectional!B$43-DAC_to_Logical_index!D36)</f>
        <v>371</v>
      </c>
    </row>
    <row r="37" spans="4:6" x14ac:dyDescent="0.25">
      <c r="D37" s="137">
        <f t="shared" si="0"/>
        <v>29</v>
      </c>
      <c r="E37" s="137">
        <f>_xlfn.BITAND(IF(ROUNDDOWN((E$8)+((D37*C$2)/C$3),0) &gt; 0, ROUNDDOWN((E$8)+((D37*C$2)/C$3),0), Customer_sheet_bidirectional!D$20 + ROUNDDOWN((E$8)+((D37*C$2)/C$3),0)),C$4)</f>
        <v>3385</v>
      </c>
      <c r="F37" s="137">
        <f>(Customer_sheet_bidirectional!B$43-DAC_to_Logical_index!D37)</f>
        <v>370</v>
      </c>
    </row>
    <row r="38" spans="4:6" x14ac:dyDescent="0.25">
      <c r="D38" s="137">
        <f t="shared" si="0"/>
        <v>30</v>
      </c>
      <c r="E38" s="137">
        <f>_xlfn.BITAND(IF(ROUNDDOWN((E$8)+((D38*C$2)/C$3),0) &gt; 0, ROUNDDOWN((E$8)+((D38*C$2)/C$3),0), Customer_sheet_bidirectional!D$20 + ROUNDDOWN((E$8)+((D38*C$2)/C$3),0)),C$4)</f>
        <v>3390</v>
      </c>
      <c r="F38" s="137">
        <f>(Customer_sheet_bidirectional!B$43-DAC_to_Logical_index!D38)</f>
        <v>369</v>
      </c>
    </row>
    <row r="39" spans="4:6" x14ac:dyDescent="0.25">
      <c r="D39" s="137">
        <f t="shared" si="0"/>
        <v>31</v>
      </c>
      <c r="E39" s="137">
        <f>_xlfn.BITAND(IF(ROUNDDOWN((E$8)+((D39*C$2)/C$3),0) &gt; 0, ROUNDDOWN((E$8)+((D39*C$2)/C$3),0), Customer_sheet_bidirectional!D$20 + ROUNDDOWN((E$8)+((D39*C$2)/C$3),0)),C$4)</f>
        <v>3396</v>
      </c>
      <c r="F39" s="137">
        <f>(Customer_sheet_bidirectional!B$43-DAC_to_Logical_index!D39)</f>
        <v>368</v>
      </c>
    </row>
    <row r="40" spans="4:6" x14ac:dyDescent="0.25">
      <c r="D40" s="137">
        <f t="shared" si="0"/>
        <v>32</v>
      </c>
      <c r="E40" s="137">
        <f>_xlfn.BITAND(IF(ROUNDDOWN((E$8)+((D40*C$2)/C$3),0) &gt; 0, ROUNDDOWN((E$8)+((D40*C$2)/C$3),0), Customer_sheet_bidirectional!D$20 + ROUNDDOWN((E$8)+((D40*C$2)/C$3),0)),C$4)</f>
        <v>3401</v>
      </c>
      <c r="F40" s="137">
        <f>(Customer_sheet_bidirectional!B$43-DAC_to_Logical_index!D40)</f>
        <v>367</v>
      </c>
    </row>
    <row r="41" spans="4:6" x14ac:dyDescent="0.25">
      <c r="D41" s="137">
        <f t="shared" si="0"/>
        <v>33</v>
      </c>
      <c r="E41" s="137">
        <f>_xlfn.BITAND(IF(ROUNDDOWN((E$8)+((D41*C$2)/C$3),0) &gt; 0, ROUNDDOWN((E$8)+((D41*C$2)/C$3),0), Customer_sheet_bidirectional!D$20 + ROUNDDOWN((E$8)+((D41*C$2)/C$3),0)),C$4)</f>
        <v>3406</v>
      </c>
      <c r="F41" s="137">
        <f>(Customer_sheet_bidirectional!B$43-DAC_to_Logical_index!D41)</f>
        <v>366</v>
      </c>
    </row>
    <row r="42" spans="4:6" x14ac:dyDescent="0.25">
      <c r="D42" s="137">
        <f t="shared" si="0"/>
        <v>34</v>
      </c>
      <c r="E42" s="137">
        <f>_xlfn.BITAND(IF(ROUNDDOWN((E$8)+((D42*C$2)/C$3),0) &gt; 0, ROUNDDOWN((E$8)+((D42*C$2)/C$3),0), Customer_sheet_bidirectional!D$20 + ROUNDDOWN((E$8)+((D42*C$2)/C$3),0)),C$4)</f>
        <v>3412</v>
      </c>
      <c r="F42" s="137">
        <f>(Customer_sheet_bidirectional!B$43-DAC_to_Logical_index!D42)</f>
        <v>365</v>
      </c>
    </row>
    <row r="43" spans="4:6" x14ac:dyDescent="0.25">
      <c r="D43" s="137">
        <f t="shared" si="0"/>
        <v>35</v>
      </c>
      <c r="E43" s="137">
        <f>_xlfn.BITAND(IF(ROUNDDOWN((E$8)+((D43*C$2)/C$3),0) &gt; 0, ROUNDDOWN((E$8)+((D43*C$2)/C$3),0), Customer_sheet_bidirectional!D$20 + ROUNDDOWN((E$8)+((D43*C$2)/C$3),0)),C$4)</f>
        <v>3417</v>
      </c>
      <c r="F43" s="137">
        <f>(Customer_sheet_bidirectional!B$43-DAC_to_Logical_index!D43)</f>
        <v>364</v>
      </c>
    </row>
    <row r="44" spans="4:6" x14ac:dyDescent="0.25">
      <c r="D44" s="137">
        <f t="shared" si="0"/>
        <v>36</v>
      </c>
      <c r="E44" s="137">
        <f>_xlfn.BITAND(IF(ROUNDDOWN((E$8)+((D44*C$2)/C$3),0) &gt; 0, ROUNDDOWN((E$8)+((D44*C$2)/C$3),0), Customer_sheet_bidirectional!D$20 + ROUNDDOWN((E$8)+((D44*C$2)/C$3),0)),C$4)</f>
        <v>3422</v>
      </c>
      <c r="F44" s="137">
        <f>(Customer_sheet_bidirectional!B$43-DAC_to_Logical_index!D44)</f>
        <v>363</v>
      </c>
    </row>
    <row r="45" spans="4:6" x14ac:dyDescent="0.25">
      <c r="D45" s="137">
        <f t="shared" si="0"/>
        <v>37</v>
      </c>
      <c r="E45" s="137">
        <f>_xlfn.BITAND(IF(ROUNDDOWN((E$8)+((D45*C$2)/C$3),0) &gt; 0, ROUNDDOWN((E$8)+((D45*C$2)/C$3),0), Customer_sheet_bidirectional!D$20 + ROUNDDOWN((E$8)+((D45*C$2)/C$3),0)),C$4)</f>
        <v>3427</v>
      </c>
      <c r="F45" s="137">
        <f>(Customer_sheet_bidirectional!B$43-DAC_to_Logical_index!D45)</f>
        <v>362</v>
      </c>
    </row>
    <row r="46" spans="4:6" x14ac:dyDescent="0.25">
      <c r="D46" s="137">
        <f t="shared" si="0"/>
        <v>38</v>
      </c>
      <c r="E46" s="137">
        <f>_xlfn.BITAND(IF(ROUNDDOWN((E$8)+((D46*C$2)/C$3),0) &gt; 0, ROUNDDOWN((E$8)+((D46*C$2)/C$3),0), Customer_sheet_bidirectional!D$20 + ROUNDDOWN((E$8)+((D46*C$2)/C$3),0)),C$4)</f>
        <v>3433</v>
      </c>
      <c r="F46" s="137">
        <f>(Customer_sheet_bidirectional!B$43-DAC_to_Logical_index!D46)</f>
        <v>361</v>
      </c>
    </row>
    <row r="47" spans="4:6" x14ac:dyDescent="0.25">
      <c r="D47" s="137">
        <f t="shared" si="0"/>
        <v>39</v>
      </c>
      <c r="E47" s="137">
        <f>_xlfn.BITAND(IF(ROUNDDOWN((E$8)+((D47*C$2)/C$3),0) &gt; 0, ROUNDDOWN((E$8)+((D47*C$2)/C$3),0), Customer_sheet_bidirectional!D$20 + ROUNDDOWN((E$8)+((D47*C$2)/C$3),0)),C$4)</f>
        <v>3438</v>
      </c>
      <c r="F47" s="137">
        <f>(Customer_sheet_bidirectional!B$43-DAC_to_Logical_index!D47)</f>
        <v>360</v>
      </c>
    </row>
    <row r="48" spans="4:6" x14ac:dyDescent="0.25">
      <c r="D48" s="137">
        <f t="shared" si="0"/>
        <v>40</v>
      </c>
      <c r="E48" s="137">
        <f>_xlfn.BITAND(IF(ROUNDDOWN((E$8)+((D48*C$2)/C$3),0) &gt; 0, ROUNDDOWN((E$8)+((D48*C$2)/C$3),0), Customer_sheet_bidirectional!D$20 + ROUNDDOWN((E$8)+((D48*C$2)/C$3),0)),C$4)</f>
        <v>3443</v>
      </c>
      <c r="F48" s="137">
        <f>(Customer_sheet_bidirectional!B$43-DAC_to_Logical_index!D48)</f>
        <v>359</v>
      </c>
    </row>
    <row r="49" spans="4:6" x14ac:dyDescent="0.25">
      <c r="D49" s="137">
        <f t="shared" si="0"/>
        <v>41</v>
      </c>
      <c r="E49" s="137">
        <f>_xlfn.BITAND(IF(ROUNDDOWN((E$8)+((D49*C$2)/C$3),0) &gt; 0, ROUNDDOWN((E$8)+((D49*C$2)/C$3),0), Customer_sheet_bidirectional!D$20 + ROUNDDOWN((E$8)+((D49*C$2)/C$3),0)),C$4)</f>
        <v>3448</v>
      </c>
      <c r="F49" s="137">
        <f>(Customer_sheet_bidirectional!B$43-DAC_to_Logical_index!D49)</f>
        <v>358</v>
      </c>
    </row>
    <row r="50" spans="4:6" x14ac:dyDescent="0.25">
      <c r="D50" s="137">
        <f t="shared" si="0"/>
        <v>42</v>
      </c>
      <c r="E50" s="137">
        <f>_xlfn.BITAND(IF(ROUNDDOWN((E$8)+((D50*C$2)/C$3),0) &gt; 0, ROUNDDOWN((E$8)+((D50*C$2)/C$3),0), Customer_sheet_bidirectional!D$20 + ROUNDDOWN((E$8)+((D50*C$2)/C$3),0)),C$4)</f>
        <v>3454</v>
      </c>
      <c r="F50" s="137">
        <f>(Customer_sheet_bidirectional!B$43-DAC_to_Logical_index!D50)</f>
        <v>357</v>
      </c>
    </row>
    <row r="51" spans="4:6" x14ac:dyDescent="0.25">
      <c r="D51" s="137">
        <f t="shared" si="0"/>
        <v>43</v>
      </c>
      <c r="E51" s="137">
        <f>_xlfn.BITAND(IF(ROUNDDOWN((E$8)+((D51*C$2)/C$3),0) &gt; 0, ROUNDDOWN((E$8)+((D51*C$2)/C$3),0), Customer_sheet_bidirectional!D$20 + ROUNDDOWN((E$8)+((D51*C$2)/C$3),0)),C$4)</f>
        <v>3459</v>
      </c>
      <c r="F51" s="137">
        <f>(Customer_sheet_bidirectional!B$43-DAC_to_Logical_index!D51)</f>
        <v>356</v>
      </c>
    </row>
    <row r="52" spans="4:6" x14ac:dyDescent="0.25">
      <c r="D52" s="137">
        <f t="shared" si="0"/>
        <v>44</v>
      </c>
      <c r="E52" s="137">
        <f>_xlfn.BITAND(IF(ROUNDDOWN((E$8)+((D52*C$2)/C$3),0) &gt; 0, ROUNDDOWN((E$8)+((D52*C$2)/C$3),0), Customer_sheet_bidirectional!D$20 + ROUNDDOWN((E$8)+((D52*C$2)/C$3),0)),C$4)</f>
        <v>3464</v>
      </c>
      <c r="F52" s="137">
        <f>(Customer_sheet_bidirectional!B$43-DAC_to_Logical_index!D52)</f>
        <v>355</v>
      </c>
    </row>
    <row r="53" spans="4:6" x14ac:dyDescent="0.25">
      <c r="D53" s="137">
        <f t="shared" si="0"/>
        <v>45</v>
      </c>
      <c r="E53" s="137">
        <f>_xlfn.BITAND(IF(ROUNDDOWN((E$8)+((D53*C$2)/C$3),0) &gt; 0, ROUNDDOWN((E$8)+((D53*C$2)/C$3),0), Customer_sheet_bidirectional!D$20 + ROUNDDOWN((E$8)+((D53*C$2)/C$3),0)),C$4)</f>
        <v>3469</v>
      </c>
      <c r="F53" s="137">
        <f>(Customer_sheet_bidirectional!B$43-DAC_to_Logical_index!D53)</f>
        <v>354</v>
      </c>
    </row>
    <row r="54" spans="4:6" x14ac:dyDescent="0.25">
      <c r="D54" s="137">
        <f t="shared" si="0"/>
        <v>46</v>
      </c>
      <c r="E54" s="137">
        <f>_xlfn.BITAND(IF(ROUNDDOWN((E$8)+((D54*C$2)/C$3),0) &gt; 0, ROUNDDOWN((E$8)+((D54*C$2)/C$3),0), Customer_sheet_bidirectional!D$20 + ROUNDDOWN((E$8)+((D54*C$2)/C$3),0)),C$4)</f>
        <v>3475</v>
      </c>
      <c r="F54" s="137">
        <f>(Customer_sheet_bidirectional!B$43-DAC_to_Logical_index!D54)</f>
        <v>353</v>
      </c>
    </row>
    <row r="55" spans="4:6" x14ac:dyDescent="0.25">
      <c r="D55" s="137">
        <f t="shared" si="0"/>
        <v>47</v>
      </c>
      <c r="E55" s="137">
        <f>_xlfn.BITAND(IF(ROUNDDOWN((E$8)+((D55*C$2)/C$3),0) &gt; 0, ROUNDDOWN((E$8)+((D55*C$2)/C$3),0), Customer_sheet_bidirectional!D$20 + ROUNDDOWN((E$8)+((D55*C$2)/C$3),0)),C$4)</f>
        <v>3480</v>
      </c>
      <c r="F55" s="137">
        <f>(Customer_sheet_bidirectional!B$43-DAC_to_Logical_index!D55)</f>
        <v>352</v>
      </c>
    </row>
    <row r="56" spans="4:6" x14ac:dyDescent="0.25">
      <c r="D56" s="137">
        <f t="shared" si="0"/>
        <v>48</v>
      </c>
      <c r="E56" s="137">
        <f>_xlfn.BITAND(IF(ROUNDDOWN((E$8)+((D56*C$2)/C$3),0) &gt; 0, ROUNDDOWN((E$8)+((D56*C$2)/C$3),0), Customer_sheet_bidirectional!D$20 + ROUNDDOWN((E$8)+((D56*C$2)/C$3),0)),C$4)</f>
        <v>3485</v>
      </c>
      <c r="F56" s="137">
        <f>(Customer_sheet_bidirectional!B$43-DAC_to_Logical_index!D56)</f>
        <v>351</v>
      </c>
    </row>
    <row r="57" spans="4:6" x14ac:dyDescent="0.25">
      <c r="D57" s="137">
        <f t="shared" si="0"/>
        <v>49</v>
      </c>
      <c r="E57" s="137">
        <f>_xlfn.BITAND(IF(ROUNDDOWN((E$8)+((D57*C$2)/C$3),0) &gt; 0, ROUNDDOWN((E$8)+((D57*C$2)/C$3),0), Customer_sheet_bidirectional!D$20 + ROUNDDOWN((E$8)+((D57*C$2)/C$3),0)),C$4)</f>
        <v>3490</v>
      </c>
      <c r="F57" s="137">
        <f>(Customer_sheet_bidirectional!B$43-DAC_to_Logical_index!D57)</f>
        <v>350</v>
      </c>
    </row>
    <row r="58" spans="4:6" x14ac:dyDescent="0.25">
      <c r="D58" s="137">
        <f t="shared" si="0"/>
        <v>50</v>
      </c>
      <c r="E58" s="137">
        <f>_xlfn.BITAND(IF(ROUNDDOWN((E$8)+((D58*C$2)/C$3),0) &gt; 0, ROUNDDOWN((E$8)+((D58*C$2)/C$3),0), Customer_sheet_bidirectional!D$20 + ROUNDDOWN((E$8)+((D58*C$2)/C$3),0)),C$4)</f>
        <v>3496</v>
      </c>
      <c r="F58" s="137">
        <f>(Customer_sheet_bidirectional!B$43-DAC_to_Logical_index!D58)</f>
        <v>349</v>
      </c>
    </row>
    <row r="59" spans="4:6" x14ac:dyDescent="0.25">
      <c r="D59" s="137">
        <f t="shared" si="0"/>
        <v>51</v>
      </c>
      <c r="E59" s="137">
        <f>_xlfn.BITAND(IF(ROUNDDOWN((E$8)+((D59*C$2)/C$3),0) &gt; 0, ROUNDDOWN((E$8)+((D59*C$2)/C$3),0), Customer_sheet_bidirectional!D$20 + ROUNDDOWN((E$8)+((D59*C$2)/C$3),0)),C$4)</f>
        <v>3501</v>
      </c>
      <c r="F59" s="137">
        <f>(Customer_sheet_bidirectional!B$43-DAC_to_Logical_index!D59)</f>
        <v>348</v>
      </c>
    </row>
    <row r="60" spans="4:6" x14ac:dyDescent="0.25">
      <c r="D60" s="137">
        <f t="shared" si="0"/>
        <v>52</v>
      </c>
      <c r="E60" s="137">
        <f>_xlfn.BITAND(IF(ROUNDDOWN((E$8)+((D60*C$2)/C$3),0) &gt; 0, ROUNDDOWN((E$8)+((D60*C$2)/C$3),0), Customer_sheet_bidirectional!D$20 + ROUNDDOWN((E$8)+((D60*C$2)/C$3),0)),C$4)</f>
        <v>3506</v>
      </c>
      <c r="F60" s="137">
        <f>(Customer_sheet_bidirectional!B$43-DAC_to_Logical_index!D60)</f>
        <v>347</v>
      </c>
    </row>
    <row r="61" spans="4:6" x14ac:dyDescent="0.25">
      <c r="D61" s="137">
        <f t="shared" si="0"/>
        <v>53</v>
      </c>
      <c r="E61" s="137">
        <f>_xlfn.BITAND(IF(ROUNDDOWN((E$8)+((D61*C$2)/C$3),0) &gt; 0, ROUNDDOWN((E$8)+((D61*C$2)/C$3),0), Customer_sheet_bidirectional!D$20 + ROUNDDOWN((E$8)+((D61*C$2)/C$3),0)),C$4)</f>
        <v>3512</v>
      </c>
      <c r="F61" s="137">
        <f>(Customer_sheet_bidirectional!B$43-DAC_to_Logical_index!D61)</f>
        <v>346</v>
      </c>
    </row>
    <row r="62" spans="4:6" x14ac:dyDescent="0.25">
      <c r="D62" s="137">
        <f t="shared" si="0"/>
        <v>54</v>
      </c>
      <c r="E62" s="137">
        <f>_xlfn.BITAND(IF(ROUNDDOWN((E$8)+((D62*C$2)/C$3),0) &gt; 0, ROUNDDOWN((E$8)+((D62*C$2)/C$3),0), Customer_sheet_bidirectional!D$20 + ROUNDDOWN((E$8)+((D62*C$2)/C$3),0)),C$4)</f>
        <v>3517</v>
      </c>
      <c r="F62" s="137">
        <f>(Customer_sheet_bidirectional!B$43-DAC_to_Logical_index!D62)</f>
        <v>345</v>
      </c>
    </row>
    <row r="63" spans="4:6" x14ac:dyDescent="0.25">
      <c r="D63" s="137">
        <f t="shared" si="0"/>
        <v>55</v>
      </c>
      <c r="E63" s="137">
        <f>_xlfn.BITAND(IF(ROUNDDOWN((E$8)+((D63*C$2)/C$3),0) &gt; 0, ROUNDDOWN((E$8)+((D63*C$2)/C$3),0), Customer_sheet_bidirectional!D$20 + ROUNDDOWN((E$8)+((D63*C$2)/C$3),0)),C$4)</f>
        <v>3522</v>
      </c>
      <c r="F63" s="137">
        <f>(Customer_sheet_bidirectional!B$43-DAC_to_Logical_index!D63)</f>
        <v>344</v>
      </c>
    </row>
    <row r="64" spans="4:6" x14ac:dyDescent="0.25">
      <c r="D64" s="137">
        <f t="shared" si="0"/>
        <v>56</v>
      </c>
      <c r="E64" s="137">
        <f>_xlfn.BITAND(IF(ROUNDDOWN((E$8)+((D64*C$2)/C$3),0) &gt; 0, ROUNDDOWN((E$8)+((D64*C$2)/C$3),0), Customer_sheet_bidirectional!D$20 + ROUNDDOWN((E$8)+((D64*C$2)/C$3),0)),C$4)</f>
        <v>3527</v>
      </c>
      <c r="F64" s="137">
        <f>(Customer_sheet_bidirectional!B$43-DAC_to_Logical_index!D64)</f>
        <v>343</v>
      </c>
    </row>
    <row r="65" spans="4:6" x14ac:dyDescent="0.25">
      <c r="D65" s="137">
        <f t="shared" si="0"/>
        <v>57</v>
      </c>
      <c r="E65" s="137">
        <f>_xlfn.BITAND(IF(ROUNDDOWN((E$8)+((D65*C$2)/C$3),0) &gt; 0, ROUNDDOWN((E$8)+((D65*C$2)/C$3),0), Customer_sheet_bidirectional!D$20 + ROUNDDOWN((E$8)+((D65*C$2)/C$3),0)),C$4)</f>
        <v>3533</v>
      </c>
      <c r="F65" s="137">
        <f>(Customer_sheet_bidirectional!B$43-DAC_to_Logical_index!D65)</f>
        <v>342</v>
      </c>
    </row>
    <row r="66" spans="4:6" x14ac:dyDescent="0.25">
      <c r="D66" s="137">
        <f t="shared" si="0"/>
        <v>58</v>
      </c>
      <c r="E66" s="137">
        <f>_xlfn.BITAND(IF(ROUNDDOWN((E$8)+((D66*C$2)/C$3),0) &gt; 0, ROUNDDOWN((E$8)+((D66*C$2)/C$3),0), Customer_sheet_bidirectional!D$20 + ROUNDDOWN((E$8)+((D66*C$2)/C$3),0)),C$4)</f>
        <v>3538</v>
      </c>
      <c r="F66" s="137">
        <f>(Customer_sheet_bidirectional!B$43-DAC_to_Logical_index!D66)</f>
        <v>341</v>
      </c>
    </row>
    <row r="67" spans="4:6" x14ac:dyDescent="0.25">
      <c r="D67" s="137">
        <f t="shared" si="0"/>
        <v>59</v>
      </c>
      <c r="E67" s="137">
        <f>_xlfn.BITAND(IF(ROUNDDOWN((E$8)+((D67*C$2)/C$3),0) &gt; 0, ROUNDDOWN((E$8)+((D67*C$2)/C$3),0), Customer_sheet_bidirectional!D$20 + ROUNDDOWN((E$8)+((D67*C$2)/C$3),0)),C$4)</f>
        <v>3543</v>
      </c>
      <c r="F67" s="137">
        <f>(Customer_sheet_bidirectional!B$43-DAC_to_Logical_index!D67)</f>
        <v>340</v>
      </c>
    </row>
    <row r="68" spans="4:6" x14ac:dyDescent="0.25">
      <c r="D68" s="137">
        <f t="shared" si="0"/>
        <v>60</v>
      </c>
      <c r="E68" s="137">
        <f>_xlfn.BITAND(IF(ROUNDDOWN((E$8)+((D68*C$2)/C$3),0) &gt; 0, ROUNDDOWN((E$8)+((D68*C$2)/C$3),0), Customer_sheet_bidirectional!D$20 + ROUNDDOWN((E$8)+((D68*C$2)/C$3),0)),C$4)</f>
        <v>3548</v>
      </c>
      <c r="F68" s="137">
        <f>(Customer_sheet_bidirectional!B$43-DAC_to_Logical_index!D68)</f>
        <v>339</v>
      </c>
    </row>
    <row r="69" spans="4:6" x14ac:dyDescent="0.25">
      <c r="D69" s="137">
        <f t="shared" si="0"/>
        <v>61</v>
      </c>
      <c r="E69" s="137">
        <f>_xlfn.BITAND(IF(ROUNDDOWN((E$8)+((D69*C$2)/C$3),0) &gt; 0, ROUNDDOWN((E$8)+((D69*C$2)/C$3),0), Customer_sheet_bidirectional!D$20 + ROUNDDOWN((E$8)+((D69*C$2)/C$3),0)),C$4)</f>
        <v>3554</v>
      </c>
      <c r="F69" s="137">
        <f>(Customer_sheet_bidirectional!B$43-DAC_to_Logical_index!D69)</f>
        <v>338</v>
      </c>
    </row>
    <row r="70" spans="4:6" x14ac:dyDescent="0.25">
      <c r="D70" s="137">
        <f t="shared" si="0"/>
        <v>62</v>
      </c>
      <c r="E70" s="137">
        <f>_xlfn.BITAND(IF(ROUNDDOWN((E$8)+((D70*C$2)/C$3),0) &gt; 0, ROUNDDOWN((E$8)+((D70*C$2)/C$3),0), Customer_sheet_bidirectional!D$20 + ROUNDDOWN((E$8)+((D70*C$2)/C$3),0)),C$4)</f>
        <v>3559</v>
      </c>
      <c r="F70" s="137">
        <f>(Customer_sheet_bidirectional!B$43-DAC_to_Logical_index!D70)</f>
        <v>337</v>
      </c>
    </row>
    <row r="71" spans="4:6" x14ac:dyDescent="0.25">
      <c r="D71" s="137">
        <f t="shared" si="0"/>
        <v>63</v>
      </c>
      <c r="E71" s="137">
        <f>_xlfn.BITAND(IF(ROUNDDOWN((E$8)+((D71*C$2)/C$3),0) &gt; 0, ROUNDDOWN((E$8)+((D71*C$2)/C$3),0), Customer_sheet_bidirectional!D$20 + ROUNDDOWN((E$8)+((D71*C$2)/C$3),0)),C$4)</f>
        <v>3564</v>
      </c>
      <c r="F71" s="137">
        <f>(Customer_sheet_bidirectional!B$43-DAC_to_Logical_index!D71)</f>
        <v>336</v>
      </c>
    </row>
    <row r="72" spans="4:6" x14ac:dyDescent="0.25">
      <c r="D72" s="137">
        <f t="shared" si="0"/>
        <v>64</v>
      </c>
      <c r="E72" s="137">
        <f>_xlfn.BITAND(IF(ROUNDDOWN((E$8)+((D72*C$2)/C$3),0) &gt; 0, ROUNDDOWN((E$8)+((D72*C$2)/C$3),0), Customer_sheet_bidirectional!D$20 + ROUNDDOWN((E$8)+((D72*C$2)/C$3),0)),C$4)</f>
        <v>3569</v>
      </c>
      <c r="F72" s="137">
        <f>(Customer_sheet_bidirectional!B$43-DAC_to_Logical_index!D72)</f>
        <v>335</v>
      </c>
    </row>
    <row r="73" spans="4:6" x14ac:dyDescent="0.25">
      <c r="D73" s="137">
        <f t="shared" ref="D73:D136" si="1">D72+1</f>
        <v>65</v>
      </c>
      <c r="E73" s="137">
        <f>_xlfn.BITAND(IF(ROUNDDOWN((E$8)+((D73*C$2)/C$3),0) &gt; 0, ROUNDDOWN((E$8)+((D73*C$2)/C$3),0), Customer_sheet_bidirectional!D$20 + ROUNDDOWN((E$8)+((D73*C$2)/C$3),0)),C$4)</f>
        <v>3575</v>
      </c>
      <c r="F73" s="137">
        <f>(Customer_sheet_bidirectional!B$43-DAC_to_Logical_index!D73)</f>
        <v>334</v>
      </c>
    </row>
    <row r="74" spans="4:6" x14ac:dyDescent="0.25">
      <c r="D74" s="137">
        <f t="shared" si="1"/>
        <v>66</v>
      </c>
      <c r="E74" s="137">
        <f>_xlfn.BITAND(IF(ROUNDDOWN((E$8)+((D74*C$2)/C$3),0) &gt; 0, ROUNDDOWN((E$8)+((D74*C$2)/C$3),0), Customer_sheet_bidirectional!D$20 + ROUNDDOWN((E$8)+((D74*C$2)/C$3),0)),C$4)</f>
        <v>3580</v>
      </c>
      <c r="F74" s="137">
        <f>(Customer_sheet_bidirectional!B$43-DAC_to_Logical_index!D74)</f>
        <v>333</v>
      </c>
    </row>
    <row r="75" spans="4:6" x14ac:dyDescent="0.25">
      <c r="D75" s="137">
        <f t="shared" si="1"/>
        <v>67</v>
      </c>
      <c r="E75" s="137">
        <f>_xlfn.BITAND(IF(ROUNDDOWN((E$8)+((D75*C$2)/C$3),0) &gt; 0, ROUNDDOWN((E$8)+((D75*C$2)/C$3),0), Customer_sheet_bidirectional!D$20 + ROUNDDOWN((E$8)+((D75*C$2)/C$3),0)),C$4)</f>
        <v>3585</v>
      </c>
      <c r="F75" s="137">
        <f>(Customer_sheet_bidirectional!B$43-DAC_to_Logical_index!D75)</f>
        <v>332</v>
      </c>
    </row>
    <row r="76" spans="4:6" x14ac:dyDescent="0.25">
      <c r="D76" s="137">
        <f t="shared" si="1"/>
        <v>68</v>
      </c>
      <c r="E76" s="137">
        <f>_xlfn.BITAND(IF(ROUNDDOWN((E$8)+((D76*C$2)/C$3),0) &gt; 0, ROUNDDOWN((E$8)+((D76*C$2)/C$3),0), Customer_sheet_bidirectional!D$20 + ROUNDDOWN((E$8)+((D76*C$2)/C$3),0)),C$4)</f>
        <v>3591</v>
      </c>
      <c r="F76" s="137">
        <f>(Customer_sheet_bidirectional!B$43-DAC_to_Logical_index!D76)</f>
        <v>331</v>
      </c>
    </row>
    <row r="77" spans="4:6" x14ac:dyDescent="0.25">
      <c r="D77" s="137">
        <f t="shared" si="1"/>
        <v>69</v>
      </c>
      <c r="E77" s="137">
        <f>_xlfn.BITAND(IF(ROUNDDOWN((E$8)+((D77*C$2)/C$3),0) &gt; 0, ROUNDDOWN((E$8)+((D77*C$2)/C$3),0), Customer_sheet_bidirectional!D$20 + ROUNDDOWN((E$8)+((D77*C$2)/C$3),0)),C$4)</f>
        <v>3596</v>
      </c>
      <c r="F77" s="137">
        <f>(Customer_sheet_bidirectional!B$43-DAC_to_Logical_index!D77)</f>
        <v>330</v>
      </c>
    </row>
    <row r="78" spans="4:6" x14ac:dyDescent="0.25">
      <c r="D78" s="137">
        <f t="shared" si="1"/>
        <v>70</v>
      </c>
      <c r="E78" s="137">
        <f>_xlfn.BITAND(IF(ROUNDDOWN((E$8)+((D78*C$2)/C$3),0) &gt; 0, ROUNDDOWN((E$8)+((D78*C$2)/C$3),0), Customer_sheet_bidirectional!D$20 + ROUNDDOWN((E$8)+((D78*C$2)/C$3),0)),C$4)</f>
        <v>3601</v>
      </c>
      <c r="F78" s="137">
        <f>(Customer_sheet_bidirectional!B$43-DAC_to_Logical_index!D78)</f>
        <v>329</v>
      </c>
    </row>
    <row r="79" spans="4:6" x14ac:dyDescent="0.25">
      <c r="D79" s="137">
        <f t="shared" si="1"/>
        <v>71</v>
      </c>
      <c r="E79" s="137">
        <f>_xlfn.BITAND(IF(ROUNDDOWN((E$8)+((D79*C$2)/C$3),0) &gt; 0, ROUNDDOWN((E$8)+((D79*C$2)/C$3),0), Customer_sheet_bidirectional!D$20 + ROUNDDOWN((E$8)+((D79*C$2)/C$3),0)),C$4)</f>
        <v>3606</v>
      </c>
      <c r="F79" s="137">
        <f>(Customer_sheet_bidirectional!B$43-DAC_to_Logical_index!D79)</f>
        <v>328</v>
      </c>
    </row>
    <row r="80" spans="4:6" x14ac:dyDescent="0.25">
      <c r="D80" s="137">
        <f t="shared" si="1"/>
        <v>72</v>
      </c>
      <c r="E80" s="137">
        <f>_xlfn.BITAND(IF(ROUNDDOWN((E$8)+((D80*C$2)/C$3),0) &gt; 0, ROUNDDOWN((E$8)+((D80*C$2)/C$3),0), Customer_sheet_bidirectional!D$20 + ROUNDDOWN((E$8)+((D80*C$2)/C$3),0)),C$4)</f>
        <v>3612</v>
      </c>
      <c r="F80" s="137">
        <f>(Customer_sheet_bidirectional!B$43-DAC_to_Logical_index!D80)</f>
        <v>327</v>
      </c>
    </row>
    <row r="81" spans="4:6" x14ac:dyDescent="0.25">
      <c r="D81" s="137">
        <f t="shared" si="1"/>
        <v>73</v>
      </c>
      <c r="E81" s="137">
        <f>_xlfn.BITAND(IF(ROUNDDOWN((E$8)+((D81*C$2)/C$3),0) &gt; 0, ROUNDDOWN((E$8)+((D81*C$2)/C$3),0), Customer_sheet_bidirectional!D$20 + ROUNDDOWN((E$8)+((D81*C$2)/C$3),0)),C$4)</f>
        <v>3617</v>
      </c>
      <c r="F81" s="137">
        <f>(Customer_sheet_bidirectional!B$43-DAC_to_Logical_index!D81)</f>
        <v>326</v>
      </c>
    </row>
    <row r="82" spans="4:6" x14ac:dyDescent="0.25">
      <c r="D82" s="137">
        <f t="shared" si="1"/>
        <v>74</v>
      </c>
      <c r="E82" s="137">
        <f>_xlfn.BITAND(IF(ROUNDDOWN((E$8)+((D82*C$2)/C$3),0) &gt; 0, ROUNDDOWN((E$8)+((D82*C$2)/C$3),0), Customer_sheet_bidirectional!D$20 + ROUNDDOWN((E$8)+((D82*C$2)/C$3),0)),C$4)</f>
        <v>3622</v>
      </c>
      <c r="F82" s="137">
        <f>(Customer_sheet_bidirectional!B$43-DAC_to_Logical_index!D82)</f>
        <v>325</v>
      </c>
    </row>
    <row r="83" spans="4:6" x14ac:dyDescent="0.25">
      <c r="D83" s="137">
        <f t="shared" si="1"/>
        <v>75</v>
      </c>
      <c r="E83" s="137">
        <f>_xlfn.BITAND(IF(ROUNDDOWN((E$8)+((D83*C$2)/C$3),0) &gt; 0, ROUNDDOWN((E$8)+((D83*C$2)/C$3),0), Customer_sheet_bidirectional!D$20 + ROUNDDOWN((E$8)+((D83*C$2)/C$3),0)),C$4)</f>
        <v>3627</v>
      </c>
      <c r="F83" s="137">
        <f>(Customer_sheet_bidirectional!B$43-DAC_to_Logical_index!D83)</f>
        <v>324</v>
      </c>
    </row>
    <row r="84" spans="4:6" x14ac:dyDescent="0.25">
      <c r="D84" s="137">
        <f t="shared" si="1"/>
        <v>76</v>
      </c>
      <c r="E84" s="137">
        <f>_xlfn.BITAND(IF(ROUNDDOWN((E$8)+((D84*C$2)/C$3),0) &gt; 0, ROUNDDOWN((E$8)+((D84*C$2)/C$3),0), Customer_sheet_bidirectional!D$20 + ROUNDDOWN((E$8)+((D84*C$2)/C$3),0)),C$4)</f>
        <v>3633</v>
      </c>
      <c r="F84" s="137">
        <f>(Customer_sheet_bidirectional!B$43-DAC_to_Logical_index!D84)</f>
        <v>323</v>
      </c>
    </row>
    <row r="85" spans="4:6" x14ac:dyDescent="0.25">
      <c r="D85" s="137">
        <f t="shared" si="1"/>
        <v>77</v>
      </c>
      <c r="E85" s="137">
        <f>_xlfn.BITAND(IF(ROUNDDOWN((E$8)+((D85*C$2)/C$3),0) &gt; 0, ROUNDDOWN((E$8)+((D85*C$2)/C$3),0), Customer_sheet_bidirectional!D$20 + ROUNDDOWN((E$8)+((D85*C$2)/C$3),0)),C$4)</f>
        <v>3638</v>
      </c>
      <c r="F85" s="137">
        <f>(Customer_sheet_bidirectional!B$43-DAC_to_Logical_index!D85)</f>
        <v>322</v>
      </c>
    </row>
    <row r="86" spans="4:6" x14ac:dyDescent="0.25">
      <c r="D86" s="137">
        <f t="shared" si="1"/>
        <v>78</v>
      </c>
      <c r="E86" s="137">
        <f>_xlfn.BITAND(IF(ROUNDDOWN((E$8)+((D86*C$2)/C$3),0) &gt; 0, ROUNDDOWN((E$8)+((D86*C$2)/C$3),0), Customer_sheet_bidirectional!D$20 + ROUNDDOWN((E$8)+((D86*C$2)/C$3),0)),C$4)</f>
        <v>3643</v>
      </c>
      <c r="F86" s="137">
        <f>(Customer_sheet_bidirectional!B$43-DAC_to_Logical_index!D86)</f>
        <v>321</v>
      </c>
    </row>
    <row r="87" spans="4:6" x14ac:dyDescent="0.25">
      <c r="D87" s="137">
        <f t="shared" si="1"/>
        <v>79</v>
      </c>
      <c r="E87" s="137">
        <f>_xlfn.BITAND(IF(ROUNDDOWN((E$8)+((D87*C$2)/C$3),0) &gt; 0, ROUNDDOWN((E$8)+((D87*C$2)/C$3),0), Customer_sheet_bidirectional!D$20 + ROUNDDOWN((E$8)+((D87*C$2)/C$3),0)),C$4)</f>
        <v>3648</v>
      </c>
      <c r="F87" s="137">
        <f>(Customer_sheet_bidirectional!B$43-DAC_to_Logical_index!D87)</f>
        <v>320</v>
      </c>
    </row>
    <row r="88" spans="4:6" x14ac:dyDescent="0.25">
      <c r="D88" s="137">
        <f t="shared" si="1"/>
        <v>80</v>
      </c>
      <c r="E88" s="137">
        <f>_xlfn.BITAND(IF(ROUNDDOWN((E$8)+((D88*C$2)/C$3),0) &gt; 0, ROUNDDOWN((E$8)+((D88*C$2)/C$3),0), Customer_sheet_bidirectional!D$20 + ROUNDDOWN((E$8)+((D88*C$2)/C$3),0)),C$4)</f>
        <v>3654</v>
      </c>
      <c r="F88" s="137">
        <f>(Customer_sheet_bidirectional!B$43-DAC_to_Logical_index!D88)</f>
        <v>319</v>
      </c>
    </row>
    <row r="89" spans="4:6" x14ac:dyDescent="0.25">
      <c r="D89" s="137">
        <f t="shared" si="1"/>
        <v>81</v>
      </c>
      <c r="E89" s="137">
        <f>_xlfn.BITAND(IF(ROUNDDOWN((E$8)+((D89*C$2)/C$3),0) &gt; 0, ROUNDDOWN((E$8)+((D89*C$2)/C$3),0), Customer_sheet_bidirectional!D$20 + ROUNDDOWN((E$8)+((D89*C$2)/C$3),0)),C$4)</f>
        <v>3659</v>
      </c>
      <c r="F89" s="137">
        <f>(Customer_sheet_bidirectional!B$43-DAC_to_Logical_index!D89)</f>
        <v>318</v>
      </c>
    </row>
    <row r="90" spans="4:6" x14ac:dyDescent="0.25">
      <c r="D90" s="137">
        <f t="shared" si="1"/>
        <v>82</v>
      </c>
      <c r="E90" s="137">
        <f>_xlfn.BITAND(IF(ROUNDDOWN((E$8)+((D90*C$2)/C$3),0) &gt; 0, ROUNDDOWN((E$8)+((D90*C$2)/C$3),0), Customer_sheet_bidirectional!D$20 + ROUNDDOWN((E$8)+((D90*C$2)/C$3),0)),C$4)</f>
        <v>3664</v>
      </c>
      <c r="F90" s="137">
        <f>(Customer_sheet_bidirectional!B$43-DAC_to_Logical_index!D90)</f>
        <v>317</v>
      </c>
    </row>
    <row r="91" spans="4:6" x14ac:dyDescent="0.25">
      <c r="D91" s="137">
        <f t="shared" si="1"/>
        <v>83</v>
      </c>
      <c r="E91" s="137">
        <f>_xlfn.BITAND(IF(ROUNDDOWN((E$8)+((D91*C$2)/C$3),0) &gt; 0, ROUNDDOWN((E$8)+((D91*C$2)/C$3),0), Customer_sheet_bidirectional!D$20 + ROUNDDOWN((E$8)+((D91*C$2)/C$3),0)),C$4)</f>
        <v>3669</v>
      </c>
      <c r="F91" s="137">
        <f>(Customer_sheet_bidirectional!B$43-DAC_to_Logical_index!D91)</f>
        <v>316</v>
      </c>
    </row>
    <row r="92" spans="4:6" x14ac:dyDescent="0.25">
      <c r="D92" s="137">
        <f t="shared" si="1"/>
        <v>84</v>
      </c>
      <c r="E92" s="137">
        <f>_xlfn.BITAND(IF(ROUNDDOWN((E$8)+((D92*C$2)/C$3),0) &gt; 0, ROUNDDOWN((E$8)+((D92*C$2)/C$3),0), Customer_sheet_bidirectional!D$20 + ROUNDDOWN((E$8)+((D92*C$2)/C$3),0)),C$4)</f>
        <v>3675</v>
      </c>
      <c r="F92" s="137">
        <f>(Customer_sheet_bidirectional!B$43-DAC_to_Logical_index!D92)</f>
        <v>315</v>
      </c>
    </row>
    <row r="93" spans="4:6" x14ac:dyDescent="0.25">
      <c r="D93" s="137">
        <f t="shared" si="1"/>
        <v>85</v>
      </c>
      <c r="E93" s="137">
        <f>_xlfn.BITAND(IF(ROUNDDOWN((E$8)+((D93*C$2)/C$3),0) &gt; 0, ROUNDDOWN((E$8)+((D93*C$2)/C$3),0), Customer_sheet_bidirectional!D$20 + ROUNDDOWN((E$8)+((D93*C$2)/C$3),0)),C$4)</f>
        <v>3680</v>
      </c>
      <c r="F93" s="137">
        <f>(Customer_sheet_bidirectional!B$43-DAC_to_Logical_index!D93)</f>
        <v>314</v>
      </c>
    </row>
    <row r="94" spans="4:6" x14ac:dyDescent="0.25">
      <c r="D94" s="137">
        <f t="shared" si="1"/>
        <v>86</v>
      </c>
      <c r="E94" s="137">
        <f>_xlfn.BITAND(IF(ROUNDDOWN((E$8)+((D94*C$2)/C$3),0) &gt; 0, ROUNDDOWN((E$8)+((D94*C$2)/C$3),0), Customer_sheet_bidirectional!D$20 + ROUNDDOWN((E$8)+((D94*C$2)/C$3),0)),C$4)</f>
        <v>3685</v>
      </c>
      <c r="F94" s="137">
        <f>(Customer_sheet_bidirectional!B$43-DAC_to_Logical_index!D94)</f>
        <v>313</v>
      </c>
    </row>
    <row r="95" spans="4:6" x14ac:dyDescent="0.25">
      <c r="D95" s="137">
        <f t="shared" si="1"/>
        <v>87</v>
      </c>
      <c r="E95" s="137">
        <f>_xlfn.BITAND(IF(ROUNDDOWN((E$8)+((D95*C$2)/C$3),0) &gt; 0, ROUNDDOWN((E$8)+((D95*C$2)/C$3),0), Customer_sheet_bidirectional!D$20 + ROUNDDOWN((E$8)+((D95*C$2)/C$3),0)),C$4)</f>
        <v>3691</v>
      </c>
      <c r="F95" s="137">
        <f>(Customer_sheet_bidirectional!B$43-DAC_to_Logical_index!D95)</f>
        <v>312</v>
      </c>
    </row>
    <row r="96" spans="4:6" x14ac:dyDescent="0.25">
      <c r="D96" s="137">
        <f t="shared" si="1"/>
        <v>88</v>
      </c>
      <c r="E96" s="137">
        <f>_xlfn.BITAND(IF(ROUNDDOWN((E$8)+((D96*C$2)/C$3),0) &gt; 0, ROUNDDOWN((E$8)+((D96*C$2)/C$3),0), Customer_sheet_bidirectional!D$20 + ROUNDDOWN((E$8)+((D96*C$2)/C$3),0)),C$4)</f>
        <v>3696</v>
      </c>
      <c r="F96" s="137">
        <f>(Customer_sheet_bidirectional!B$43-DAC_to_Logical_index!D96)</f>
        <v>311</v>
      </c>
    </row>
    <row r="97" spans="4:6" x14ac:dyDescent="0.25">
      <c r="D97" s="137">
        <f t="shared" si="1"/>
        <v>89</v>
      </c>
      <c r="E97" s="137">
        <f>_xlfn.BITAND(IF(ROUNDDOWN((E$8)+((D97*C$2)/C$3),0) &gt; 0, ROUNDDOWN((E$8)+((D97*C$2)/C$3),0), Customer_sheet_bidirectional!D$20 + ROUNDDOWN((E$8)+((D97*C$2)/C$3),0)),C$4)</f>
        <v>3701</v>
      </c>
      <c r="F97" s="137">
        <f>(Customer_sheet_bidirectional!B$43-DAC_to_Logical_index!D97)</f>
        <v>310</v>
      </c>
    </row>
    <row r="98" spans="4:6" x14ac:dyDescent="0.25">
      <c r="D98" s="137">
        <f t="shared" si="1"/>
        <v>90</v>
      </c>
      <c r="E98" s="137">
        <f>_xlfn.BITAND(IF(ROUNDDOWN((E$8)+((D98*C$2)/C$3),0) &gt; 0, ROUNDDOWN((E$8)+((D98*C$2)/C$3),0), Customer_sheet_bidirectional!D$20 + ROUNDDOWN((E$8)+((D98*C$2)/C$3),0)),C$4)</f>
        <v>3706</v>
      </c>
      <c r="F98" s="137">
        <f>(Customer_sheet_bidirectional!B$43-DAC_to_Logical_index!D98)</f>
        <v>309</v>
      </c>
    </row>
    <row r="99" spans="4:6" x14ac:dyDescent="0.25">
      <c r="D99" s="137">
        <f t="shared" si="1"/>
        <v>91</v>
      </c>
      <c r="E99" s="137">
        <f>_xlfn.BITAND(IF(ROUNDDOWN((E$8)+((D99*C$2)/C$3),0) &gt; 0, ROUNDDOWN((E$8)+((D99*C$2)/C$3),0), Customer_sheet_bidirectional!D$20 + ROUNDDOWN((E$8)+((D99*C$2)/C$3),0)),C$4)</f>
        <v>3712</v>
      </c>
      <c r="F99" s="137">
        <f>(Customer_sheet_bidirectional!B$43-DAC_to_Logical_index!D99)</f>
        <v>308</v>
      </c>
    </row>
    <row r="100" spans="4:6" x14ac:dyDescent="0.25">
      <c r="D100" s="137">
        <f t="shared" si="1"/>
        <v>92</v>
      </c>
      <c r="E100" s="137">
        <f>_xlfn.BITAND(IF(ROUNDDOWN((E$8)+((D100*C$2)/C$3),0) &gt; 0, ROUNDDOWN((E$8)+((D100*C$2)/C$3),0), Customer_sheet_bidirectional!D$20 + ROUNDDOWN((E$8)+((D100*C$2)/C$3),0)),C$4)</f>
        <v>3717</v>
      </c>
      <c r="F100" s="137">
        <f>(Customer_sheet_bidirectional!B$43-DAC_to_Logical_index!D100)</f>
        <v>307</v>
      </c>
    </row>
    <row r="101" spans="4:6" x14ac:dyDescent="0.25">
      <c r="D101" s="137">
        <f t="shared" si="1"/>
        <v>93</v>
      </c>
      <c r="E101" s="137">
        <f>_xlfn.BITAND(IF(ROUNDDOWN((E$8)+((D101*C$2)/C$3),0) &gt; 0, ROUNDDOWN((E$8)+((D101*C$2)/C$3),0), Customer_sheet_bidirectional!D$20 + ROUNDDOWN((E$8)+((D101*C$2)/C$3),0)),C$4)</f>
        <v>3722</v>
      </c>
      <c r="F101" s="137">
        <f>(Customer_sheet_bidirectional!B$43-DAC_to_Logical_index!D101)</f>
        <v>306</v>
      </c>
    </row>
    <row r="102" spans="4:6" x14ac:dyDescent="0.25">
      <c r="D102" s="137">
        <f t="shared" si="1"/>
        <v>94</v>
      </c>
      <c r="E102" s="137">
        <f>_xlfn.BITAND(IF(ROUNDDOWN((E$8)+((D102*C$2)/C$3),0) &gt; 0, ROUNDDOWN((E$8)+((D102*C$2)/C$3),0), Customer_sheet_bidirectional!D$20 + ROUNDDOWN((E$8)+((D102*C$2)/C$3),0)),C$4)</f>
        <v>3727</v>
      </c>
      <c r="F102" s="137">
        <f>(Customer_sheet_bidirectional!B$43-DAC_to_Logical_index!D102)</f>
        <v>305</v>
      </c>
    </row>
    <row r="103" spans="4:6" x14ac:dyDescent="0.25">
      <c r="D103" s="137">
        <f t="shared" si="1"/>
        <v>95</v>
      </c>
      <c r="E103" s="137">
        <f>_xlfn.BITAND(IF(ROUNDDOWN((E$8)+((D103*C$2)/C$3),0) &gt; 0, ROUNDDOWN((E$8)+((D103*C$2)/C$3),0), Customer_sheet_bidirectional!D$20 + ROUNDDOWN((E$8)+((D103*C$2)/C$3),0)),C$4)</f>
        <v>3733</v>
      </c>
      <c r="F103" s="137">
        <f>(Customer_sheet_bidirectional!B$43-DAC_to_Logical_index!D103)</f>
        <v>304</v>
      </c>
    </row>
    <row r="104" spans="4:6" x14ac:dyDescent="0.25">
      <c r="D104" s="137">
        <f t="shared" si="1"/>
        <v>96</v>
      </c>
      <c r="E104" s="137">
        <f>_xlfn.BITAND(IF(ROUNDDOWN((E$8)+((D104*C$2)/C$3),0) &gt; 0, ROUNDDOWN((E$8)+((D104*C$2)/C$3),0), Customer_sheet_bidirectional!D$20 + ROUNDDOWN((E$8)+((D104*C$2)/C$3),0)),C$4)</f>
        <v>3738</v>
      </c>
      <c r="F104" s="137">
        <f>(Customer_sheet_bidirectional!B$43-DAC_to_Logical_index!D104)</f>
        <v>303</v>
      </c>
    </row>
    <row r="105" spans="4:6" x14ac:dyDescent="0.25">
      <c r="D105" s="137">
        <f t="shared" si="1"/>
        <v>97</v>
      </c>
      <c r="E105" s="137">
        <f>_xlfn.BITAND(IF(ROUNDDOWN((E$8)+((D105*C$2)/C$3),0) &gt; 0, ROUNDDOWN((E$8)+((D105*C$2)/C$3),0), Customer_sheet_bidirectional!D$20 + ROUNDDOWN((E$8)+((D105*C$2)/C$3),0)),C$4)</f>
        <v>3743</v>
      </c>
      <c r="F105" s="137">
        <f>(Customer_sheet_bidirectional!B$43-DAC_to_Logical_index!D105)</f>
        <v>302</v>
      </c>
    </row>
    <row r="106" spans="4:6" x14ac:dyDescent="0.25">
      <c r="D106" s="137">
        <f t="shared" si="1"/>
        <v>98</v>
      </c>
      <c r="E106" s="137">
        <f>_xlfn.BITAND(IF(ROUNDDOWN((E$8)+((D106*C$2)/C$3),0) &gt; 0, ROUNDDOWN((E$8)+((D106*C$2)/C$3),0), Customer_sheet_bidirectional!D$20 + ROUNDDOWN((E$8)+((D106*C$2)/C$3),0)),C$4)</f>
        <v>3748</v>
      </c>
      <c r="F106" s="137">
        <f>(Customer_sheet_bidirectional!B$43-DAC_to_Logical_index!D106)</f>
        <v>301</v>
      </c>
    </row>
    <row r="107" spans="4:6" x14ac:dyDescent="0.25">
      <c r="D107" s="137">
        <f t="shared" si="1"/>
        <v>99</v>
      </c>
      <c r="E107" s="137">
        <f>_xlfn.BITAND(IF(ROUNDDOWN((E$8)+((D107*C$2)/C$3),0) &gt; 0, ROUNDDOWN((E$8)+((D107*C$2)/C$3),0), Customer_sheet_bidirectional!D$20 + ROUNDDOWN((E$8)+((D107*C$2)/C$3),0)),C$4)</f>
        <v>3754</v>
      </c>
      <c r="F107" s="137">
        <f>(Customer_sheet_bidirectional!B$43-DAC_to_Logical_index!D107)</f>
        <v>300</v>
      </c>
    </row>
    <row r="108" spans="4:6" x14ac:dyDescent="0.25">
      <c r="D108" s="137">
        <f t="shared" si="1"/>
        <v>100</v>
      </c>
      <c r="E108" s="137">
        <f>_xlfn.BITAND(IF(ROUNDDOWN((E$8)+((D108*C$2)/C$3),0) &gt; 0, ROUNDDOWN((E$8)+((D108*C$2)/C$3),0), Customer_sheet_bidirectional!D$20 + ROUNDDOWN((E$8)+((D108*C$2)/C$3),0)),C$4)</f>
        <v>3759</v>
      </c>
      <c r="F108" s="137">
        <f>(Customer_sheet_bidirectional!B$43-DAC_to_Logical_index!D108)</f>
        <v>299</v>
      </c>
    </row>
    <row r="109" spans="4:6" x14ac:dyDescent="0.25">
      <c r="D109" s="137">
        <f t="shared" si="1"/>
        <v>101</v>
      </c>
      <c r="E109" s="137">
        <f>_xlfn.BITAND(IF(ROUNDDOWN((E$8)+((D109*C$2)/C$3),0) &gt; 0, ROUNDDOWN((E$8)+((D109*C$2)/C$3),0), Customer_sheet_bidirectional!D$20 + ROUNDDOWN((E$8)+((D109*C$2)/C$3),0)),C$4)</f>
        <v>3764</v>
      </c>
      <c r="F109" s="137">
        <f>(Customer_sheet_bidirectional!B$43-DAC_to_Logical_index!D109)</f>
        <v>298</v>
      </c>
    </row>
    <row r="110" spans="4:6" x14ac:dyDescent="0.25">
      <c r="D110" s="137">
        <f t="shared" si="1"/>
        <v>102</v>
      </c>
      <c r="E110" s="137">
        <f>_xlfn.BITAND(IF(ROUNDDOWN((E$8)+((D110*C$2)/C$3),0) &gt; 0, ROUNDDOWN((E$8)+((D110*C$2)/C$3),0), Customer_sheet_bidirectional!D$20 + ROUNDDOWN((E$8)+((D110*C$2)/C$3),0)),C$4)</f>
        <v>3770</v>
      </c>
      <c r="F110" s="137">
        <f>(Customer_sheet_bidirectional!B$43-DAC_to_Logical_index!D110)</f>
        <v>297</v>
      </c>
    </row>
    <row r="111" spans="4:6" x14ac:dyDescent="0.25">
      <c r="D111" s="137">
        <f t="shared" si="1"/>
        <v>103</v>
      </c>
      <c r="E111" s="137">
        <f>_xlfn.BITAND(IF(ROUNDDOWN((E$8)+((D111*C$2)/C$3),0) &gt; 0, ROUNDDOWN((E$8)+((D111*C$2)/C$3),0), Customer_sheet_bidirectional!D$20 + ROUNDDOWN((E$8)+((D111*C$2)/C$3),0)),C$4)</f>
        <v>3775</v>
      </c>
      <c r="F111" s="137">
        <f>(Customer_sheet_bidirectional!B$43-DAC_to_Logical_index!D111)</f>
        <v>296</v>
      </c>
    </row>
    <row r="112" spans="4:6" x14ac:dyDescent="0.25">
      <c r="D112" s="137">
        <f t="shared" si="1"/>
        <v>104</v>
      </c>
      <c r="E112" s="137">
        <f>_xlfn.BITAND(IF(ROUNDDOWN((E$8)+((D112*C$2)/C$3),0) &gt; 0, ROUNDDOWN((E$8)+((D112*C$2)/C$3),0), Customer_sheet_bidirectional!D$20 + ROUNDDOWN((E$8)+((D112*C$2)/C$3),0)),C$4)</f>
        <v>3780</v>
      </c>
      <c r="F112" s="137">
        <f>(Customer_sheet_bidirectional!B$43-DAC_to_Logical_index!D112)</f>
        <v>295</v>
      </c>
    </row>
    <row r="113" spans="4:6" x14ac:dyDescent="0.25">
      <c r="D113" s="137">
        <f t="shared" si="1"/>
        <v>105</v>
      </c>
      <c r="E113" s="137">
        <f>_xlfn.BITAND(IF(ROUNDDOWN((E$8)+((D113*C$2)/C$3),0) &gt; 0, ROUNDDOWN((E$8)+((D113*C$2)/C$3),0), Customer_sheet_bidirectional!D$20 + ROUNDDOWN((E$8)+((D113*C$2)/C$3),0)),C$4)</f>
        <v>3785</v>
      </c>
      <c r="F113" s="137">
        <f>(Customer_sheet_bidirectional!B$43-DAC_to_Logical_index!D113)</f>
        <v>294</v>
      </c>
    </row>
    <row r="114" spans="4:6" x14ac:dyDescent="0.25">
      <c r="D114" s="137">
        <f t="shared" si="1"/>
        <v>106</v>
      </c>
      <c r="E114" s="137">
        <f>_xlfn.BITAND(IF(ROUNDDOWN((E$8)+((D114*C$2)/C$3),0) &gt; 0, ROUNDDOWN((E$8)+((D114*C$2)/C$3),0), Customer_sheet_bidirectional!D$20 + ROUNDDOWN((E$8)+((D114*C$2)/C$3),0)),C$4)</f>
        <v>3791</v>
      </c>
      <c r="F114" s="137">
        <f>(Customer_sheet_bidirectional!B$43-DAC_to_Logical_index!D114)</f>
        <v>293</v>
      </c>
    </row>
    <row r="115" spans="4:6" x14ac:dyDescent="0.25">
      <c r="D115" s="137">
        <f t="shared" si="1"/>
        <v>107</v>
      </c>
      <c r="E115" s="137">
        <f>_xlfn.BITAND(IF(ROUNDDOWN((E$8)+((D115*C$2)/C$3),0) &gt; 0, ROUNDDOWN((E$8)+((D115*C$2)/C$3),0), Customer_sheet_bidirectional!D$20 + ROUNDDOWN((E$8)+((D115*C$2)/C$3),0)),C$4)</f>
        <v>3796</v>
      </c>
      <c r="F115" s="137">
        <f>(Customer_sheet_bidirectional!B$43-DAC_to_Logical_index!D115)</f>
        <v>292</v>
      </c>
    </row>
    <row r="116" spans="4:6" x14ac:dyDescent="0.25">
      <c r="D116" s="137">
        <f t="shared" si="1"/>
        <v>108</v>
      </c>
      <c r="E116" s="137">
        <f>_xlfn.BITAND(IF(ROUNDDOWN((E$8)+((D116*C$2)/C$3),0) &gt; 0, ROUNDDOWN((E$8)+((D116*C$2)/C$3),0), Customer_sheet_bidirectional!D$20 + ROUNDDOWN((E$8)+((D116*C$2)/C$3),0)),C$4)</f>
        <v>3801</v>
      </c>
      <c r="F116" s="137">
        <f>(Customer_sheet_bidirectional!B$43-DAC_to_Logical_index!D116)</f>
        <v>291</v>
      </c>
    </row>
    <row r="117" spans="4:6" x14ac:dyDescent="0.25">
      <c r="D117" s="137">
        <f t="shared" si="1"/>
        <v>109</v>
      </c>
      <c r="E117" s="137">
        <f>_xlfn.BITAND(IF(ROUNDDOWN((E$8)+((D117*C$2)/C$3),0) &gt; 0, ROUNDDOWN((E$8)+((D117*C$2)/C$3),0), Customer_sheet_bidirectional!D$20 + ROUNDDOWN((E$8)+((D117*C$2)/C$3),0)),C$4)</f>
        <v>3806</v>
      </c>
      <c r="F117" s="137">
        <f>(Customer_sheet_bidirectional!B$43-DAC_to_Logical_index!D117)</f>
        <v>290</v>
      </c>
    </row>
    <row r="118" spans="4:6" x14ac:dyDescent="0.25">
      <c r="D118" s="137">
        <f t="shared" si="1"/>
        <v>110</v>
      </c>
      <c r="E118" s="137">
        <f>_xlfn.BITAND(IF(ROUNDDOWN((E$8)+((D118*C$2)/C$3),0) &gt; 0, ROUNDDOWN((E$8)+((D118*C$2)/C$3),0), Customer_sheet_bidirectional!D$20 + ROUNDDOWN((E$8)+((D118*C$2)/C$3),0)),C$4)</f>
        <v>3812</v>
      </c>
      <c r="F118" s="137">
        <f>(Customer_sheet_bidirectional!B$43-DAC_to_Logical_index!D118)</f>
        <v>289</v>
      </c>
    </row>
    <row r="119" spans="4:6" x14ac:dyDescent="0.25">
      <c r="D119" s="137">
        <f t="shared" si="1"/>
        <v>111</v>
      </c>
      <c r="E119" s="137">
        <f>_xlfn.BITAND(IF(ROUNDDOWN((E$8)+((D119*C$2)/C$3),0) &gt; 0, ROUNDDOWN((E$8)+((D119*C$2)/C$3),0), Customer_sheet_bidirectional!D$20 + ROUNDDOWN((E$8)+((D119*C$2)/C$3),0)),C$4)</f>
        <v>3817</v>
      </c>
      <c r="F119" s="137">
        <f>(Customer_sheet_bidirectional!B$43-DAC_to_Logical_index!D119)</f>
        <v>288</v>
      </c>
    </row>
    <row r="120" spans="4:6" x14ac:dyDescent="0.25">
      <c r="D120" s="137">
        <f t="shared" si="1"/>
        <v>112</v>
      </c>
      <c r="E120" s="137">
        <f>_xlfn.BITAND(IF(ROUNDDOWN((E$8)+((D120*C$2)/C$3),0) &gt; 0, ROUNDDOWN((E$8)+((D120*C$2)/C$3),0), Customer_sheet_bidirectional!D$20 + ROUNDDOWN((E$8)+((D120*C$2)/C$3),0)),C$4)</f>
        <v>3822</v>
      </c>
      <c r="F120" s="137">
        <f>(Customer_sheet_bidirectional!B$43-DAC_to_Logical_index!D120)</f>
        <v>287</v>
      </c>
    </row>
    <row r="121" spans="4:6" x14ac:dyDescent="0.25">
      <c r="D121" s="137">
        <f t="shared" si="1"/>
        <v>113</v>
      </c>
      <c r="E121" s="137">
        <f>_xlfn.BITAND(IF(ROUNDDOWN((E$8)+((D121*C$2)/C$3),0) &gt; 0, ROUNDDOWN((E$8)+((D121*C$2)/C$3),0), Customer_sheet_bidirectional!D$20 + ROUNDDOWN((E$8)+((D121*C$2)/C$3),0)),C$4)</f>
        <v>3827</v>
      </c>
      <c r="F121" s="137">
        <f>(Customer_sheet_bidirectional!B$43-DAC_to_Logical_index!D121)</f>
        <v>286</v>
      </c>
    </row>
    <row r="122" spans="4:6" x14ac:dyDescent="0.25">
      <c r="D122" s="137">
        <f t="shared" si="1"/>
        <v>114</v>
      </c>
      <c r="E122" s="137">
        <f>_xlfn.BITAND(IF(ROUNDDOWN((E$8)+((D122*C$2)/C$3),0) &gt; 0, ROUNDDOWN((E$8)+((D122*C$2)/C$3),0), Customer_sheet_bidirectional!D$20 + ROUNDDOWN((E$8)+((D122*C$2)/C$3),0)),C$4)</f>
        <v>3833</v>
      </c>
      <c r="F122" s="137">
        <f>(Customer_sheet_bidirectional!B$43-DAC_to_Logical_index!D122)</f>
        <v>285</v>
      </c>
    </row>
    <row r="123" spans="4:6" x14ac:dyDescent="0.25">
      <c r="D123" s="137">
        <f t="shared" si="1"/>
        <v>115</v>
      </c>
      <c r="E123" s="137">
        <f>_xlfn.BITAND(IF(ROUNDDOWN((E$8)+((D123*C$2)/C$3),0) &gt; 0, ROUNDDOWN((E$8)+((D123*C$2)/C$3),0), Customer_sheet_bidirectional!D$20 + ROUNDDOWN((E$8)+((D123*C$2)/C$3),0)),C$4)</f>
        <v>3838</v>
      </c>
      <c r="F123" s="137">
        <f>(Customer_sheet_bidirectional!B$43-DAC_to_Logical_index!D123)</f>
        <v>284</v>
      </c>
    </row>
    <row r="124" spans="4:6" x14ac:dyDescent="0.25">
      <c r="D124" s="137">
        <f t="shared" si="1"/>
        <v>116</v>
      </c>
      <c r="E124" s="137">
        <f>_xlfn.BITAND(IF(ROUNDDOWN((E$8)+((D124*C$2)/C$3),0) &gt; 0, ROUNDDOWN((E$8)+((D124*C$2)/C$3),0), Customer_sheet_bidirectional!D$20 + ROUNDDOWN((E$8)+((D124*C$2)/C$3),0)),C$4)</f>
        <v>3843</v>
      </c>
      <c r="F124" s="137">
        <f>(Customer_sheet_bidirectional!B$43-DAC_to_Logical_index!D124)</f>
        <v>283</v>
      </c>
    </row>
    <row r="125" spans="4:6" x14ac:dyDescent="0.25">
      <c r="D125" s="137">
        <f t="shared" si="1"/>
        <v>117</v>
      </c>
      <c r="E125" s="137">
        <f>_xlfn.BITAND(IF(ROUNDDOWN((E$8)+((D125*C$2)/C$3),0) &gt; 0, ROUNDDOWN((E$8)+((D125*C$2)/C$3),0), Customer_sheet_bidirectional!D$20 + ROUNDDOWN((E$8)+((D125*C$2)/C$3),0)),C$4)</f>
        <v>3849</v>
      </c>
      <c r="F125" s="137">
        <f>(Customer_sheet_bidirectional!B$43-DAC_to_Logical_index!D125)</f>
        <v>282</v>
      </c>
    </row>
    <row r="126" spans="4:6" x14ac:dyDescent="0.25">
      <c r="D126" s="137">
        <f t="shared" si="1"/>
        <v>118</v>
      </c>
      <c r="E126" s="137">
        <f>_xlfn.BITAND(IF(ROUNDDOWN((E$8)+((D126*C$2)/C$3),0) &gt; 0, ROUNDDOWN((E$8)+((D126*C$2)/C$3),0), Customer_sheet_bidirectional!D$20 + ROUNDDOWN((E$8)+((D126*C$2)/C$3),0)),C$4)</f>
        <v>3854</v>
      </c>
      <c r="F126" s="137">
        <f>(Customer_sheet_bidirectional!B$43-DAC_to_Logical_index!D126)</f>
        <v>281</v>
      </c>
    </row>
    <row r="127" spans="4:6" x14ac:dyDescent="0.25">
      <c r="D127" s="137">
        <f t="shared" si="1"/>
        <v>119</v>
      </c>
      <c r="E127" s="137">
        <f>_xlfn.BITAND(IF(ROUNDDOWN((E$8)+((D127*C$2)/C$3),0) &gt; 0, ROUNDDOWN((E$8)+((D127*C$2)/C$3),0), Customer_sheet_bidirectional!D$20 + ROUNDDOWN((E$8)+((D127*C$2)/C$3),0)),C$4)</f>
        <v>3859</v>
      </c>
      <c r="F127" s="137">
        <f>(Customer_sheet_bidirectional!B$43-DAC_to_Logical_index!D127)</f>
        <v>280</v>
      </c>
    </row>
    <row r="128" spans="4:6" x14ac:dyDescent="0.25">
      <c r="D128" s="137">
        <f t="shared" si="1"/>
        <v>120</v>
      </c>
      <c r="E128" s="137">
        <f>_xlfn.BITAND(IF(ROUNDDOWN((E$8)+((D128*C$2)/C$3),0) &gt; 0, ROUNDDOWN((E$8)+((D128*C$2)/C$3),0), Customer_sheet_bidirectional!D$20 + ROUNDDOWN((E$8)+((D128*C$2)/C$3),0)),C$4)</f>
        <v>3864</v>
      </c>
      <c r="F128" s="137">
        <f>(Customer_sheet_bidirectional!B$43-DAC_to_Logical_index!D128)</f>
        <v>279</v>
      </c>
    </row>
    <row r="129" spans="4:6" x14ac:dyDescent="0.25">
      <c r="D129" s="137">
        <f t="shared" si="1"/>
        <v>121</v>
      </c>
      <c r="E129" s="137">
        <f>_xlfn.BITAND(IF(ROUNDDOWN((E$8)+((D129*C$2)/C$3),0) &gt; 0, ROUNDDOWN((E$8)+((D129*C$2)/C$3),0), Customer_sheet_bidirectional!D$20 + ROUNDDOWN((E$8)+((D129*C$2)/C$3),0)),C$4)</f>
        <v>3870</v>
      </c>
      <c r="F129" s="137">
        <f>(Customer_sheet_bidirectional!B$43-DAC_to_Logical_index!D129)</f>
        <v>278</v>
      </c>
    </row>
    <row r="130" spans="4:6" x14ac:dyDescent="0.25">
      <c r="D130" s="137">
        <f t="shared" si="1"/>
        <v>122</v>
      </c>
      <c r="E130" s="137">
        <f>_xlfn.BITAND(IF(ROUNDDOWN((E$8)+((D130*C$2)/C$3),0) &gt; 0, ROUNDDOWN((E$8)+((D130*C$2)/C$3),0), Customer_sheet_bidirectional!D$20 + ROUNDDOWN((E$8)+((D130*C$2)/C$3),0)),C$4)</f>
        <v>3875</v>
      </c>
      <c r="F130" s="137">
        <f>(Customer_sheet_bidirectional!B$43-DAC_to_Logical_index!D130)</f>
        <v>277</v>
      </c>
    </row>
    <row r="131" spans="4:6" x14ac:dyDescent="0.25">
      <c r="D131" s="137">
        <f t="shared" si="1"/>
        <v>123</v>
      </c>
      <c r="E131" s="137">
        <f>_xlfn.BITAND(IF(ROUNDDOWN((E$8)+((D131*C$2)/C$3),0) &gt; 0, ROUNDDOWN((E$8)+((D131*C$2)/C$3),0), Customer_sheet_bidirectional!D$20 + ROUNDDOWN((E$8)+((D131*C$2)/C$3),0)),C$4)</f>
        <v>3880</v>
      </c>
      <c r="F131" s="137">
        <f>(Customer_sheet_bidirectional!B$43-DAC_to_Logical_index!D131)</f>
        <v>276</v>
      </c>
    </row>
    <row r="132" spans="4:6" x14ac:dyDescent="0.25">
      <c r="D132" s="137">
        <f t="shared" si="1"/>
        <v>124</v>
      </c>
      <c r="E132" s="137">
        <f>_xlfn.BITAND(IF(ROUNDDOWN((E$8)+((D132*C$2)/C$3),0) &gt; 0, ROUNDDOWN((E$8)+((D132*C$2)/C$3),0), Customer_sheet_bidirectional!D$20 + ROUNDDOWN((E$8)+((D132*C$2)/C$3),0)),C$4)</f>
        <v>3885</v>
      </c>
      <c r="F132" s="137">
        <f>(Customer_sheet_bidirectional!B$43-DAC_to_Logical_index!D132)</f>
        <v>275</v>
      </c>
    </row>
    <row r="133" spans="4:6" x14ac:dyDescent="0.25">
      <c r="D133" s="137">
        <f t="shared" si="1"/>
        <v>125</v>
      </c>
      <c r="E133" s="137">
        <f>_xlfn.BITAND(IF(ROUNDDOWN((E$8)+((D133*C$2)/C$3),0) &gt; 0, ROUNDDOWN((E$8)+((D133*C$2)/C$3),0), Customer_sheet_bidirectional!D$20 + ROUNDDOWN((E$8)+((D133*C$2)/C$3),0)),C$4)</f>
        <v>3891</v>
      </c>
      <c r="F133" s="137">
        <f>(Customer_sheet_bidirectional!B$43-DAC_to_Logical_index!D133)</f>
        <v>274</v>
      </c>
    </row>
    <row r="134" spans="4:6" x14ac:dyDescent="0.25">
      <c r="D134" s="137">
        <f t="shared" si="1"/>
        <v>126</v>
      </c>
      <c r="E134" s="137">
        <f>_xlfn.BITAND(IF(ROUNDDOWN((E$8)+((D134*C$2)/C$3),0) &gt; 0, ROUNDDOWN((E$8)+((D134*C$2)/C$3),0), Customer_sheet_bidirectional!D$20 + ROUNDDOWN((E$8)+((D134*C$2)/C$3),0)),C$4)</f>
        <v>3896</v>
      </c>
      <c r="F134" s="137">
        <f>(Customer_sheet_bidirectional!B$43-DAC_to_Logical_index!D134)</f>
        <v>273</v>
      </c>
    </row>
    <row r="135" spans="4:6" x14ac:dyDescent="0.25">
      <c r="D135" s="137">
        <f t="shared" si="1"/>
        <v>127</v>
      </c>
      <c r="E135" s="137">
        <f>_xlfn.BITAND(IF(ROUNDDOWN((E$8)+((D135*C$2)/C$3),0) &gt; 0, ROUNDDOWN((E$8)+((D135*C$2)/C$3),0), Customer_sheet_bidirectional!D$20 + ROUNDDOWN((E$8)+((D135*C$2)/C$3),0)),C$4)</f>
        <v>3901</v>
      </c>
      <c r="F135" s="137">
        <f>(Customer_sheet_bidirectional!B$43-DAC_to_Logical_index!D135)</f>
        <v>272</v>
      </c>
    </row>
    <row r="136" spans="4:6" x14ac:dyDescent="0.25">
      <c r="D136" s="137">
        <f t="shared" si="1"/>
        <v>128</v>
      </c>
      <c r="E136" s="137">
        <f>_xlfn.BITAND(IF(ROUNDDOWN((E$8)+((D136*C$2)/C$3),0) &gt; 0, ROUNDDOWN((E$8)+((D136*C$2)/C$3),0), Customer_sheet_bidirectional!D$20 + ROUNDDOWN((E$8)+((D136*C$2)/C$3),0)),C$4)</f>
        <v>3906</v>
      </c>
      <c r="F136" s="137">
        <f>(Customer_sheet_bidirectional!B$43-DAC_to_Logical_index!D136)</f>
        <v>271</v>
      </c>
    </row>
    <row r="137" spans="4:6" x14ac:dyDescent="0.25">
      <c r="D137" s="137">
        <f t="shared" ref="D137:D200" si="2">D136+1</f>
        <v>129</v>
      </c>
      <c r="E137" s="137">
        <f>_xlfn.BITAND(IF(ROUNDDOWN((E$8)+((D137*C$2)/C$3),0) &gt; 0, ROUNDDOWN((E$8)+((D137*C$2)/C$3),0), Customer_sheet_bidirectional!D$20 + ROUNDDOWN((E$8)+((D137*C$2)/C$3),0)),C$4)</f>
        <v>3912</v>
      </c>
      <c r="F137" s="137">
        <f>(Customer_sheet_bidirectional!B$43-DAC_to_Logical_index!D137)</f>
        <v>270</v>
      </c>
    </row>
    <row r="138" spans="4:6" x14ac:dyDescent="0.25">
      <c r="D138" s="137">
        <f t="shared" si="2"/>
        <v>130</v>
      </c>
      <c r="E138" s="137">
        <f>_xlfn.BITAND(IF(ROUNDDOWN((E$8)+((D138*C$2)/C$3),0) &gt; 0, ROUNDDOWN((E$8)+((D138*C$2)/C$3),0), Customer_sheet_bidirectional!D$20 + ROUNDDOWN((E$8)+((D138*C$2)/C$3),0)),C$4)</f>
        <v>3917</v>
      </c>
      <c r="F138" s="137">
        <f>(Customer_sheet_bidirectional!B$43-DAC_to_Logical_index!D138)</f>
        <v>269</v>
      </c>
    </row>
    <row r="139" spans="4:6" x14ac:dyDescent="0.25">
      <c r="D139" s="137">
        <f t="shared" si="2"/>
        <v>131</v>
      </c>
      <c r="E139" s="137">
        <f>_xlfn.BITAND(IF(ROUNDDOWN((E$8)+((D139*C$2)/C$3),0) &gt; 0, ROUNDDOWN((E$8)+((D139*C$2)/C$3),0), Customer_sheet_bidirectional!D$20 + ROUNDDOWN((E$8)+((D139*C$2)/C$3),0)),C$4)</f>
        <v>3922</v>
      </c>
      <c r="F139" s="137">
        <f>(Customer_sheet_bidirectional!B$43-DAC_to_Logical_index!D139)</f>
        <v>268</v>
      </c>
    </row>
    <row r="140" spans="4:6" x14ac:dyDescent="0.25">
      <c r="D140" s="137">
        <f t="shared" si="2"/>
        <v>132</v>
      </c>
      <c r="E140" s="137">
        <f>_xlfn.BITAND(IF(ROUNDDOWN((E$8)+((D140*C$2)/C$3),0) &gt; 0, ROUNDDOWN((E$8)+((D140*C$2)/C$3),0), Customer_sheet_bidirectional!D$20 + ROUNDDOWN((E$8)+((D140*C$2)/C$3),0)),C$4)</f>
        <v>3927</v>
      </c>
      <c r="F140" s="137">
        <f>(Customer_sheet_bidirectional!B$43-DAC_to_Logical_index!D140)</f>
        <v>267</v>
      </c>
    </row>
    <row r="141" spans="4:6" x14ac:dyDescent="0.25">
      <c r="D141" s="137">
        <f t="shared" si="2"/>
        <v>133</v>
      </c>
      <c r="E141" s="137">
        <f>_xlfn.BITAND(IF(ROUNDDOWN((E$8)+((D141*C$2)/C$3),0) &gt; 0, ROUNDDOWN((E$8)+((D141*C$2)/C$3),0), Customer_sheet_bidirectional!D$20 + ROUNDDOWN((E$8)+((D141*C$2)/C$3),0)),C$4)</f>
        <v>3933</v>
      </c>
      <c r="F141" s="137">
        <f>(Customer_sheet_bidirectional!B$43-DAC_to_Logical_index!D141)</f>
        <v>266</v>
      </c>
    </row>
    <row r="142" spans="4:6" x14ac:dyDescent="0.25">
      <c r="D142" s="137">
        <f t="shared" si="2"/>
        <v>134</v>
      </c>
      <c r="E142" s="137">
        <f>_xlfn.BITAND(IF(ROUNDDOWN((E$8)+((D142*C$2)/C$3),0) &gt; 0, ROUNDDOWN((E$8)+((D142*C$2)/C$3),0), Customer_sheet_bidirectional!D$20 + ROUNDDOWN((E$8)+((D142*C$2)/C$3),0)),C$4)</f>
        <v>3938</v>
      </c>
      <c r="F142" s="137">
        <f>(Customer_sheet_bidirectional!B$43-DAC_to_Logical_index!D142)</f>
        <v>265</v>
      </c>
    </row>
    <row r="143" spans="4:6" x14ac:dyDescent="0.25">
      <c r="D143" s="137">
        <f t="shared" si="2"/>
        <v>135</v>
      </c>
      <c r="E143" s="137">
        <f>_xlfn.BITAND(IF(ROUNDDOWN((E$8)+((D143*C$2)/C$3),0) &gt; 0, ROUNDDOWN((E$8)+((D143*C$2)/C$3),0), Customer_sheet_bidirectional!D$20 + ROUNDDOWN((E$8)+((D143*C$2)/C$3),0)),C$4)</f>
        <v>3943</v>
      </c>
      <c r="F143" s="137">
        <f>(Customer_sheet_bidirectional!B$43-DAC_to_Logical_index!D143)</f>
        <v>264</v>
      </c>
    </row>
    <row r="144" spans="4:6" x14ac:dyDescent="0.25">
      <c r="D144" s="137">
        <f t="shared" si="2"/>
        <v>136</v>
      </c>
      <c r="E144" s="137">
        <f>_xlfn.BITAND(IF(ROUNDDOWN((E$8)+((D144*C$2)/C$3),0) &gt; 0, ROUNDDOWN((E$8)+((D144*C$2)/C$3),0), Customer_sheet_bidirectional!D$20 + ROUNDDOWN((E$8)+((D144*C$2)/C$3),0)),C$4)</f>
        <v>3949</v>
      </c>
      <c r="F144" s="137">
        <f>(Customer_sheet_bidirectional!B$43-DAC_to_Logical_index!D144)</f>
        <v>263</v>
      </c>
    </row>
    <row r="145" spans="4:6" x14ac:dyDescent="0.25">
      <c r="D145" s="137">
        <f t="shared" si="2"/>
        <v>137</v>
      </c>
      <c r="E145" s="137">
        <f>_xlfn.BITAND(IF(ROUNDDOWN((E$8)+((D145*C$2)/C$3),0) &gt; 0, ROUNDDOWN((E$8)+((D145*C$2)/C$3),0), Customer_sheet_bidirectional!D$20 + ROUNDDOWN((E$8)+((D145*C$2)/C$3),0)),C$4)</f>
        <v>3954</v>
      </c>
      <c r="F145" s="137">
        <f>(Customer_sheet_bidirectional!B$43-DAC_to_Logical_index!D145)</f>
        <v>262</v>
      </c>
    </row>
    <row r="146" spans="4:6" x14ac:dyDescent="0.25">
      <c r="D146" s="137">
        <f t="shared" si="2"/>
        <v>138</v>
      </c>
      <c r="E146" s="137">
        <f>_xlfn.BITAND(IF(ROUNDDOWN((E$8)+((D146*C$2)/C$3),0) &gt; 0, ROUNDDOWN((E$8)+((D146*C$2)/C$3),0), Customer_sheet_bidirectional!D$20 + ROUNDDOWN((E$8)+((D146*C$2)/C$3),0)),C$4)</f>
        <v>3959</v>
      </c>
      <c r="F146" s="137">
        <f>(Customer_sheet_bidirectional!B$43-DAC_to_Logical_index!D146)</f>
        <v>261</v>
      </c>
    </row>
    <row r="147" spans="4:6" x14ac:dyDescent="0.25">
      <c r="D147" s="137">
        <f t="shared" si="2"/>
        <v>139</v>
      </c>
      <c r="E147" s="137">
        <f>_xlfn.BITAND(IF(ROUNDDOWN((E$8)+((D147*C$2)/C$3),0) &gt; 0, ROUNDDOWN((E$8)+((D147*C$2)/C$3),0), Customer_sheet_bidirectional!D$20 + ROUNDDOWN((E$8)+((D147*C$2)/C$3),0)),C$4)</f>
        <v>3964</v>
      </c>
      <c r="F147" s="137">
        <f>(Customer_sheet_bidirectional!B$43-DAC_to_Logical_index!D147)</f>
        <v>260</v>
      </c>
    </row>
    <row r="148" spans="4:6" x14ac:dyDescent="0.25">
      <c r="D148" s="137">
        <f t="shared" si="2"/>
        <v>140</v>
      </c>
      <c r="E148" s="137">
        <f>_xlfn.BITAND(IF(ROUNDDOWN((E$8)+((D148*C$2)/C$3),0) &gt; 0, ROUNDDOWN((E$8)+((D148*C$2)/C$3),0), Customer_sheet_bidirectional!D$20 + ROUNDDOWN((E$8)+((D148*C$2)/C$3),0)),C$4)</f>
        <v>3970</v>
      </c>
      <c r="F148" s="137">
        <f>(Customer_sheet_bidirectional!B$43-DAC_to_Logical_index!D148)</f>
        <v>259</v>
      </c>
    </row>
    <row r="149" spans="4:6" x14ac:dyDescent="0.25">
      <c r="D149" s="137">
        <f t="shared" si="2"/>
        <v>141</v>
      </c>
      <c r="E149" s="137">
        <f>_xlfn.BITAND(IF(ROUNDDOWN((E$8)+((D149*C$2)/C$3),0) &gt; 0, ROUNDDOWN((E$8)+((D149*C$2)/C$3),0), Customer_sheet_bidirectional!D$20 + ROUNDDOWN((E$8)+((D149*C$2)/C$3),0)),C$4)</f>
        <v>3975</v>
      </c>
      <c r="F149" s="137">
        <f>(Customer_sheet_bidirectional!B$43-DAC_to_Logical_index!D149)</f>
        <v>258</v>
      </c>
    </row>
    <row r="150" spans="4:6" x14ac:dyDescent="0.25">
      <c r="D150" s="137">
        <f t="shared" si="2"/>
        <v>142</v>
      </c>
      <c r="E150" s="137">
        <f>_xlfn.BITAND(IF(ROUNDDOWN((E$8)+((D150*C$2)/C$3),0) &gt; 0, ROUNDDOWN((E$8)+((D150*C$2)/C$3),0), Customer_sheet_bidirectional!D$20 + ROUNDDOWN((E$8)+((D150*C$2)/C$3),0)),C$4)</f>
        <v>3980</v>
      </c>
      <c r="F150" s="137">
        <f>(Customer_sheet_bidirectional!B$43-DAC_to_Logical_index!D150)</f>
        <v>257</v>
      </c>
    </row>
    <row r="151" spans="4:6" x14ac:dyDescent="0.25">
      <c r="D151" s="137">
        <f t="shared" si="2"/>
        <v>143</v>
      </c>
      <c r="E151" s="137">
        <f>_xlfn.BITAND(IF(ROUNDDOWN((E$8)+((D151*C$2)/C$3),0) &gt; 0, ROUNDDOWN((E$8)+((D151*C$2)/C$3),0), Customer_sheet_bidirectional!D$20 + ROUNDDOWN((E$8)+((D151*C$2)/C$3),0)),C$4)</f>
        <v>3985</v>
      </c>
      <c r="F151" s="137">
        <f>(Customer_sheet_bidirectional!B$43-DAC_to_Logical_index!D151)</f>
        <v>256</v>
      </c>
    </row>
    <row r="152" spans="4:6" x14ac:dyDescent="0.25">
      <c r="D152" s="137">
        <f t="shared" si="2"/>
        <v>144</v>
      </c>
      <c r="E152" s="137">
        <f>_xlfn.BITAND(IF(ROUNDDOWN((E$8)+((D152*C$2)/C$3),0) &gt; 0, ROUNDDOWN((E$8)+((D152*C$2)/C$3),0), Customer_sheet_bidirectional!D$20 + ROUNDDOWN((E$8)+((D152*C$2)/C$3),0)),C$4)</f>
        <v>3991</v>
      </c>
      <c r="F152" s="137">
        <f>(Customer_sheet_bidirectional!B$43-DAC_to_Logical_index!D152)</f>
        <v>255</v>
      </c>
    </row>
    <row r="153" spans="4:6" x14ac:dyDescent="0.25">
      <c r="D153" s="137">
        <f t="shared" si="2"/>
        <v>145</v>
      </c>
      <c r="E153" s="137">
        <f>_xlfn.BITAND(IF(ROUNDDOWN((E$8)+((D153*C$2)/C$3),0) &gt; 0, ROUNDDOWN((E$8)+((D153*C$2)/C$3),0), Customer_sheet_bidirectional!D$20 + ROUNDDOWN((E$8)+((D153*C$2)/C$3),0)),C$4)</f>
        <v>3996</v>
      </c>
      <c r="F153" s="137">
        <f>(Customer_sheet_bidirectional!B$43-DAC_to_Logical_index!D153)</f>
        <v>254</v>
      </c>
    </row>
    <row r="154" spans="4:6" x14ac:dyDescent="0.25">
      <c r="D154" s="137">
        <f t="shared" si="2"/>
        <v>146</v>
      </c>
      <c r="E154" s="137">
        <f>_xlfn.BITAND(IF(ROUNDDOWN((E$8)+((D154*C$2)/C$3),0) &gt; 0, ROUNDDOWN((E$8)+((D154*C$2)/C$3),0), Customer_sheet_bidirectional!D$20 + ROUNDDOWN((E$8)+((D154*C$2)/C$3),0)),C$4)</f>
        <v>4001</v>
      </c>
      <c r="F154" s="137">
        <f>(Customer_sheet_bidirectional!B$43-DAC_to_Logical_index!D154)</f>
        <v>253</v>
      </c>
    </row>
    <row r="155" spans="4:6" x14ac:dyDescent="0.25">
      <c r="D155" s="137">
        <f t="shared" si="2"/>
        <v>147</v>
      </c>
      <c r="E155" s="137">
        <f>_xlfn.BITAND(IF(ROUNDDOWN((E$8)+((D155*C$2)/C$3),0) &gt; 0, ROUNDDOWN((E$8)+((D155*C$2)/C$3),0), Customer_sheet_bidirectional!D$20 + ROUNDDOWN((E$8)+((D155*C$2)/C$3),0)),C$4)</f>
        <v>4006</v>
      </c>
      <c r="F155" s="137">
        <f>(Customer_sheet_bidirectional!B$43-DAC_to_Logical_index!D155)</f>
        <v>252</v>
      </c>
    </row>
    <row r="156" spans="4:6" x14ac:dyDescent="0.25">
      <c r="D156" s="137">
        <f t="shared" si="2"/>
        <v>148</v>
      </c>
      <c r="E156" s="137">
        <f>_xlfn.BITAND(IF(ROUNDDOWN((E$8)+((D156*C$2)/C$3),0) &gt; 0, ROUNDDOWN((E$8)+((D156*C$2)/C$3),0), Customer_sheet_bidirectional!D$20 + ROUNDDOWN((E$8)+((D156*C$2)/C$3),0)),C$4)</f>
        <v>4012</v>
      </c>
      <c r="F156" s="137">
        <f>(Customer_sheet_bidirectional!B$43-DAC_to_Logical_index!D156)</f>
        <v>251</v>
      </c>
    </row>
    <row r="157" spans="4:6" x14ac:dyDescent="0.25">
      <c r="D157" s="137">
        <f t="shared" si="2"/>
        <v>149</v>
      </c>
      <c r="E157" s="137">
        <f>_xlfn.BITAND(IF(ROUNDDOWN((E$8)+((D157*C$2)/C$3),0) &gt; 0, ROUNDDOWN((E$8)+((D157*C$2)/C$3),0), Customer_sheet_bidirectional!D$20 + ROUNDDOWN((E$8)+((D157*C$2)/C$3),0)),C$4)</f>
        <v>4017</v>
      </c>
      <c r="F157" s="137">
        <f>(Customer_sheet_bidirectional!B$43-DAC_to_Logical_index!D157)</f>
        <v>250</v>
      </c>
    </row>
    <row r="158" spans="4:6" x14ac:dyDescent="0.25">
      <c r="D158" s="137">
        <f t="shared" si="2"/>
        <v>150</v>
      </c>
      <c r="E158" s="137">
        <f>_xlfn.BITAND(IF(ROUNDDOWN((E$8)+((D158*C$2)/C$3),0) &gt; 0, ROUNDDOWN((E$8)+((D158*C$2)/C$3),0), Customer_sheet_bidirectional!D$20 + ROUNDDOWN((E$8)+((D158*C$2)/C$3),0)),C$4)</f>
        <v>4022</v>
      </c>
      <c r="F158" s="137">
        <f>(Customer_sheet_bidirectional!B$43-DAC_to_Logical_index!D158)</f>
        <v>249</v>
      </c>
    </row>
    <row r="159" spans="4:6" x14ac:dyDescent="0.25">
      <c r="D159" s="137">
        <f t="shared" si="2"/>
        <v>151</v>
      </c>
      <c r="E159" s="137">
        <f>_xlfn.BITAND(IF(ROUNDDOWN((E$8)+((D159*C$2)/C$3),0) &gt; 0, ROUNDDOWN((E$8)+((D159*C$2)/C$3),0), Customer_sheet_bidirectional!D$20 + ROUNDDOWN((E$8)+((D159*C$2)/C$3),0)),C$4)</f>
        <v>4028</v>
      </c>
      <c r="F159" s="137">
        <f>(Customer_sheet_bidirectional!B$43-DAC_to_Logical_index!D159)</f>
        <v>248</v>
      </c>
    </row>
    <row r="160" spans="4:6" x14ac:dyDescent="0.25">
      <c r="D160" s="137">
        <f t="shared" si="2"/>
        <v>152</v>
      </c>
      <c r="E160" s="137">
        <f>_xlfn.BITAND(IF(ROUNDDOWN((E$8)+((D160*C$2)/C$3),0) &gt; 0, ROUNDDOWN((E$8)+((D160*C$2)/C$3),0), Customer_sheet_bidirectional!D$20 + ROUNDDOWN((E$8)+((D160*C$2)/C$3),0)),C$4)</f>
        <v>4033</v>
      </c>
      <c r="F160" s="137">
        <f>(Customer_sheet_bidirectional!B$43-DAC_to_Logical_index!D160)</f>
        <v>247</v>
      </c>
    </row>
    <row r="161" spans="4:6" x14ac:dyDescent="0.25">
      <c r="D161" s="137">
        <f t="shared" si="2"/>
        <v>153</v>
      </c>
      <c r="E161" s="137">
        <f>_xlfn.BITAND(IF(ROUNDDOWN((E$8)+((D161*C$2)/C$3),0) &gt; 0, ROUNDDOWN((E$8)+((D161*C$2)/C$3),0), Customer_sheet_bidirectional!D$20 + ROUNDDOWN((E$8)+((D161*C$2)/C$3),0)),C$4)</f>
        <v>4038</v>
      </c>
      <c r="F161" s="137">
        <f>(Customer_sheet_bidirectional!B$43-DAC_to_Logical_index!D161)</f>
        <v>246</v>
      </c>
    </row>
    <row r="162" spans="4:6" x14ac:dyDescent="0.25">
      <c r="D162" s="137">
        <f t="shared" si="2"/>
        <v>154</v>
      </c>
      <c r="E162" s="137">
        <f>_xlfn.BITAND(IF(ROUNDDOWN((E$8)+((D162*C$2)/C$3),0) &gt; 0, ROUNDDOWN((E$8)+((D162*C$2)/C$3),0), Customer_sheet_bidirectional!D$20 + ROUNDDOWN((E$8)+((D162*C$2)/C$3),0)),C$4)</f>
        <v>4043</v>
      </c>
      <c r="F162" s="137">
        <f>(Customer_sheet_bidirectional!B$43-DAC_to_Logical_index!D162)</f>
        <v>245</v>
      </c>
    </row>
    <row r="163" spans="4:6" x14ac:dyDescent="0.25">
      <c r="D163" s="137">
        <f t="shared" si="2"/>
        <v>155</v>
      </c>
      <c r="E163" s="137">
        <f>_xlfn.BITAND(IF(ROUNDDOWN((E$8)+((D163*C$2)/C$3),0) &gt; 0, ROUNDDOWN((E$8)+((D163*C$2)/C$3),0), Customer_sheet_bidirectional!D$20 + ROUNDDOWN((E$8)+((D163*C$2)/C$3),0)),C$4)</f>
        <v>4049</v>
      </c>
      <c r="F163" s="137">
        <f>(Customer_sheet_bidirectional!B$43-DAC_to_Logical_index!D163)</f>
        <v>244</v>
      </c>
    </row>
    <row r="164" spans="4:6" x14ac:dyDescent="0.25">
      <c r="D164" s="137">
        <f t="shared" si="2"/>
        <v>156</v>
      </c>
      <c r="E164" s="137">
        <f>_xlfn.BITAND(IF(ROUNDDOWN((E$8)+((D164*C$2)/C$3),0) &gt; 0, ROUNDDOWN((E$8)+((D164*C$2)/C$3),0), Customer_sheet_bidirectional!D$20 + ROUNDDOWN((E$8)+((D164*C$2)/C$3),0)),C$4)</f>
        <v>4054</v>
      </c>
      <c r="F164" s="137">
        <f>(Customer_sheet_bidirectional!B$43-DAC_to_Logical_index!D164)</f>
        <v>243</v>
      </c>
    </row>
    <row r="165" spans="4:6" x14ac:dyDescent="0.25">
      <c r="D165" s="137">
        <f t="shared" si="2"/>
        <v>157</v>
      </c>
      <c r="E165" s="137">
        <f>_xlfn.BITAND(IF(ROUNDDOWN((E$8)+((D165*C$2)/C$3),0) &gt; 0, ROUNDDOWN((E$8)+((D165*C$2)/C$3),0), Customer_sheet_bidirectional!D$20 + ROUNDDOWN((E$8)+((D165*C$2)/C$3),0)),C$4)</f>
        <v>4059</v>
      </c>
      <c r="F165" s="137">
        <f>(Customer_sheet_bidirectional!B$43-DAC_to_Logical_index!D165)</f>
        <v>242</v>
      </c>
    </row>
    <row r="166" spans="4:6" x14ac:dyDescent="0.25">
      <c r="D166" s="137">
        <f t="shared" si="2"/>
        <v>158</v>
      </c>
      <c r="E166" s="137">
        <f>_xlfn.BITAND(IF(ROUNDDOWN((E$8)+((D166*C$2)/C$3),0) &gt; 0, ROUNDDOWN((E$8)+((D166*C$2)/C$3),0), Customer_sheet_bidirectional!D$20 + ROUNDDOWN((E$8)+((D166*C$2)/C$3),0)),C$4)</f>
        <v>4064</v>
      </c>
      <c r="F166" s="137">
        <f>(Customer_sheet_bidirectional!B$43-DAC_to_Logical_index!D166)</f>
        <v>241</v>
      </c>
    </row>
    <row r="167" spans="4:6" x14ac:dyDescent="0.25">
      <c r="D167" s="137">
        <f t="shared" si="2"/>
        <v>159</v>
      </c>
      <c r="E167" s="137">
        <f>_xlfn.BITAND(IF(ROUNDDOWN((E$8)+((D167*C$2)/C$3),0) &gt; 0, ROUNDDOWN((E$8)+((D167*C$2)/C$3),0), Customer_sheet_bidirectional!D$20 + ROUNDDOWN((E$8)+((D167*C$2)/C$3),0)),C$4)</f>
        <v>4070</v>
      </c>
      <c r="F167" s="137">
        <f>(Customer_sheet_bidirectional!B$43-DAC_to_Logical_index!D167)</f>
        <v>240</v>
      </c>
    </row>
    <row r="168" spans="4:6" x14ac:dyDescent="0.25">
      <c r="D168" s="137">
        <f t="shared" si="2"/>
        <v>160</v>
      </c>
      <c r="E168" s="137">
        <f>_xlfn.BITAND(IF(ROUNDDOWN((E$8)+((D168*C$2)/C$3),0) &gt; 0, ROUNDDOWN((E$8)+((D168*C$2)/C$3),0), Customer_sheet_bidirectional!D$20 + ROUNDDOWN((E$8)+((D168*C$2)/C$3),0)),C$4)</f>
        <v>4075</v>
      </c>
      <c r="F168" s="137">
        <f>(Customer_sheet_bidirectional!B$43-DAC_to_Logical_index!D168)</f>
        <v>239</v>
      </c>
    </row>
    <row r="169" spans="4:6" x14ac:dyDescent="0.25">
      <c r="D169" s="137">
        <f t="shared" si="2"/>
        <v>161</v>
      </c>
      <c r="E169" s="137">
        <f>_xlfn.BITAND(IF(ROUNDDOWN((E$8)+((D169*C$2)/C$3),0) &gt; 0, ROUNDDOWN((E$8)+((D169*C$2)/C$3),0), Customer_sheet_bidirectional!D$20 + ROUNDDOWN((E$8)+((D169*C$2)/C$3),0)),C$4)</f>
        <v>4080</v>
      </c>
      <c r="F169" s="137">
        <f>(Customer_sheet_bidirectional!B$43-DAC_to_Logical_index!D169)</f>
        <v>238</v>
      </c>
    </row>
    <row r="170" spans="4:6" x14ac:dyDescent="0.25">
      <c r="D170" s="137">
        <f t="shared" si="2"/>
        <v>162</v>
      </c>
      <c r="E170" s="137">
        <f>_xlfn.BITAND(IF(ROUNDDOWN((E$8)+((D170*C$2)/C$3),0) &gt; 0, ROUNDDOWN((E$8)+((D170*C$2)/C$3),0), Customer_sheet_bidirectional!D$20 + ROUNDDOWN((E$8)+((D170*C$2)/C$3),0)),C$4)</f>
        <v>4085</v>
      </c>
      <c r="F170" s="137">
        <f>(Customer_sheet_bidirectional!B$43-DAC_to_Logical_index!D170)</f>
        <v>237</v>
      </c>
    </row>
    <row r="171" spans="4:6" x14ac:dyDescent="0.25">
      <c r="D171" s="137">
        <f t="shared" si="2"/>
        <v>163</v>
      </c>
      <c r="E171" s="137">
        <f>_xlfn.BITAND(IF(ROUNDDOWN((E$8)+((D171*C$2)/C$3),0) &gt; 0, ROUNDDOWN((E$8)+((D171*C$2)/C$3),0), Customer_sheet_bidirectional!D$20 + ROUNDDOWN((E$8)+((D171*C$2)/C$3),0)),C$4)</f>
        <v>4091</v>
      </c>
      <c r="F171" s="137">
        <f>(Customer_sheet_bidirectional!B$43-DAC_to_Logical_index!D171)</f>
        <v>236</v>
      </c>
    </row>
    <row r="172" spans="4:6" x14ac:dyDescent="0.25">
      <c r="D172" s="137">
        <f t="shared" si="2"/>
        <v>164</v>
      </c>
      <c r="E172" s="137">
        <f>_xlfn.BITAND(IF(ROUNDDOWN((E$8)+((D172*C$2)/C$3),0) &gt; 0, ROUNDDOWN((E$8)+((D172*C$2)/C$3),0), Customer_sheet_bidirectional!D$20 + ROUNDDOWN((E$8)+((D172*C$2)/C$3),0)),C$4)</f>
        <v>0</v>
      </c>
      <c r="F172" s="137">
        <f>(Customer_sheet_bidirectional!B$43-DAC_to_Logical_index!D172)</f>
        <v>235</v>
      </c>
    </row>
    <row r="173" spans="4:6" x14ac:dyDescent="0.25">
      <c r="D173" s="137">
        <f t="shared" si="2"/>
        <v>165</v>
      </c>
      <c r="E173" s="137">
        <f>_xlfn.BITAND(IF(ROUNDDOWN((E$8)+((D173*C$2)/C$3),0) &gt; 0, ROUNDDOWN((E$8)+((D173*C$2)/C$3),0), Customer_sheet_bidirectional!D$20 + ROUNDDOWN((E$8)+((D173*C$2)/C$3),0)),C$4)</f>
        <v>5</v>
      </c>
      <c r="F173" s="137">
        <f>(Customer_sheet_bidirectional!B$43-DAC_to_Logical_index!D173)</f>
        <v>234</v>
      </c>
    </row>
    <row r="174" spans="4:6" x14ac:dyDescent="0.25">
      <c r="D174" s="137">
        <f t="shared" si="2"/>
        <v>166</v>
      </c>
      <c r="E174" s="137">
        <f>_xlfn.BITAND(IF(ROUNDDOWN((E$8)+((D174*C$2)/C$3),0) &gt; 0, ROUNDDOWN((E$8)+((D174*C$2)/C$3),0), Customer_sheet_bidirectional!D$20 + ROUNDDOWN((E$8)+((D174*C$2)/C$3),0)),C$4)</f>
        <v>10</v>
      </c>
      <c r="F174" s="137">
        <f>(Customer_sheet_bidirectional!B$43-DAC_to_Logical_index!D174)</f>
        <v>233</v>
      </c>
    </row>
    <row r="175" spans="4:6" x14ac:dyDescent="0.25">
      <c r="D175" s="137">
        <f t="shared" si="2"/>
        <v>167</v>
      </c>
      <c r="E175" s="137">
        <f>_xlfn.BITAND(IF(ROUNDDOWN((E$8)+((D175*C$2)/C$3),0) &gt; 0, ROUNDDOWN((E$8)+((D175*C$2)/C$3),0), Customer_sheet_bidirectional!D$20 + ROUNDDOWN((E$8)+((D175*C$2)/C$3),0)),C$4)</f>
        <v>16</v>
      </c>
      <c r="F175" s="137">
        <f>(Customer_sheet_bidirectional!B$43-DAC_to_Logical_index!D175)</f>
        <v>232</v>
      </c>
    </row>
    <row r="176" spans="4:6" x14ac:dyDescent="0.25">
      <c r="D176" s="137">
        <f t="shared" si="2"/>
        <v>168</v>
      </c>
      <c r="E176" s="137">
        <f>_xlfn.BITAND(IF(ROUNDDOWN((E$8)+((D176*C$2)/C$3),0) &gt; 0, ROUNDDOWN((E$8)+((D176*C$2)/C$3),0), Customer_sheet_bidirectional!D$20 + ROUNDDOWN((E$8)+((D176*C$2)/C$3),0)),C$4)</f>
        <v>21</v>
      </c>
      <c r="F176" s="137">
        <f>(Customer_sheet_bidirectional!B$43-DAC_to_Logical_index!D176)</f>
        <v>231</v>
      </c>
    </row>
    <row r="177" spans="4:6" x14ac:dyDescent="0.25">
      <c r="D177" s="137">
        <f t="shared" si="2"/>
        <v>169</v>
      </c>
      <c r="E177" s="137">
        <f>_xlfn.BITAND(IF(ROUNDDOWN((E$8)+((D177*C$2)/C$3),0) &gt; 0, ROUNDDOWN((E$8)+((D177*C$2)/C$3),0), Customer_sheet_bidirectional!D$20 + ROUNDDOWN((E$8)+((D177*C$2)/C$3),0)),C$4)</f>
        <v>26</v>
      </c>
      <c r="F177" s="137">
        <f>(Customer_sheet_bidirectional!B$43-DAC_to_Logical_index!D177)</f>
        <v>230</v>
      </c>
    </row>
    <row r="178" spans="4:6" x14ac:dyDescent="0.25">
      <c r="D178" s="137">
        <f t="shared" si="2"/>
        <v>170</v>
      </c>
      <c r="E178" s="137">
        <f>_xlfn.BITAND(IF(ROUNDDOWN((E$8)+((D178*C$2)/C$3),0) &gt; 0, ROUNDDOWN((E$8)+((D178*C$2)/C$3),0), Customer_sheet_bidirectional!D$20 + ROUNDDOWN((E$8)+((D178*C$2)/C$3),0)),C$4)</f>
        <v>32</v>
      </c>
      <c r="F178" s="137">
        <f>(Customer_sheet_bidirectional!B$43-DAC_to_Logical_index!D178)</f>
        <v>229</v>
      </c>
    </row>
    <row r="179" spans="4:6" x14ac:dyDescent="0.25">
      <c r="D179" s="137">
        <f t="shared" si="2"/>
        <v>171</v>
      </c>
      <c r="E179" s="137">
        <f>_xlfn.BITAND(IF(ROUNDDOWN((E$8)+((D179*C$2)/C$3),0) &gt; 0, ROUNDDOWN((E$8)+((D179*C$2)/C$3),0), Customer_sheet_bidirectional!D$20 + ROUNDDOWN((E$8)+((D179*C$2)/C$3),0)),C$4)</f>
        <v>37</v>
      </c>
      <c r="F179" s="137">
        <f>(Customer_sheet_bidirectional!B$43-DAC_to_Logical_index!D179)</f>
        <v>228</v>
      </c>
    </row>
    <row r="180" spans="4:6" x14ac:dyDescent="0.25">
      <c r="D180" s="137">
        <f t="shared" si="2"/>
        <v>172</v>
      </c>
      <c r="E180" s="137">
        <f>_xlfn.BITAND(IF(ROUNDDOWN((E$8)+((D180*C$2)/C$3),0) &gt; 0, ROUNDDOWN((E$8)+((D180*C$2)/C$3),0), Customer_sheet_bidirectional!D$20 + ROUNDDOWN((E$8)+((D180*C$2)/C$3),0)),C$4)</f>
        <v>42</v>
      </c>
      <c r="F180" s="137">
        <f>(Customer_sheet_bidirectional!B$43-DAC_to_Logical_index!D180)</f>
        <v>227</v>
      </c>
    </row>
    <row r="181" spans="4:6" x14ac:dyDescent="0.25">
      <c r="D181" s="137">
        <f t="shared" si="2"/>
        <v>173</v>
      </c>
      <c r="E181" s="137">
        <f>_xlfn.BITAND(IF(ROUNDDOWN((E$8)+((D181*C$2)/C$3),0) &gt; 0, ROUNDDOWN((E$8)+((D181*C$2)/C$3),0), Customer_sheet_bidirectional!D$20 + ROUNDDOWN((E$8)+((D181*C$2)/C$3),0)),C$4)</f>
        <v>47</v>
      </c>
      <c r="F181" s="137">
        <f>(Customer_sheet_bidirectional!B$43-DAC_to_Logical_index!D181)</f>
        <v>226</v>
      </c>
    </row>
    <row r="182" spans="4:6" x14ac:dyDescent="0.25">
      <c r="D182" s="137">
        <f t="shared" si="2"/>
        <v>174</v>
      </c>
      <c r="E182" s="137">
        <f>_xlfn.BITAND(IF(ROUNDDOWN((E$8)+((D182*C$2)/C$3),0) &gt; 0, ROUNDDOWN((E$8)+((D182*C$2)/C$3),0), Customer_sheet_bidirectional!D$20 + ROUNDDOWN((E$8)+((D182*C$2)/C$3),0)),C$4)</f>
        <v>53</v>
      </c>
      <c r="F182" s="137">
        <f>(Customer_sheet_bidirectional!B$43-DAC_to_Logical_index!D182)</f>
        <v>225</v>
      </c>
    </row>
    <row r="183" spans="4:6" x14ac:dyDescent="0.25">
      <c r="D183" s="137">
        <f t="shared" si="2"/>
        <v>175</v>
      </c>
      <c r="E183" s="137">
        <f>_xlfn.BITAND(IF(ROUNDDOWN((E$8)+((D183*C$2)/C$3),0) &gt; 0, ROUNDDOWN((E$8)+((D183*C$2)/C$3),0), Customer_sheet_bidirectional!D$20 + ROUNDDOWN((E$8)+((D183*C$2)/C$3),0)),C$4)</f>
        <v>58</v>
      </c>
      <c r="F183" s="137">
        <f>(Customer_sheet_bidirectional!B$43-DAC_to_Logical_index!D183)</f>
        <v>224</v>
      </c>
    </row>
    <row r="184" spans="4:6" x14ac:dyDescent="0.25">
      <c r="D184" s="137">
        <f t="shared" si="2"/>
        <v>176</v>
      </c>
      <c r="E184" s="137">
        <f>_xlfn.BITAND(IF(ROUNDDOWN((E$8)+((D184*C$2)/C$3),0) &gt; 0, ROUNDDOWN((E$8)+((D184*C$2)/C$3),0), Customer_sheet_bidirectional!D$20 + ROUNDDOWN((E$8)+((D184*C$2)/C$3),0)),C$4)</f>
        <v>63</v>
      </c>
      <c r="F184" s="137">
        <f>(Customer_sheet_bidirectional!B$43-DAC_to_Logical_index!D184)</f>
        <v>223</v>
      </c>
    </row>
    <row r="185" spans="4:6" x14ac:dyDescent="0.25">
      <c r="D185" s="137">
        <f t="shared" si="2"/>
        <v>177</v>
      </c>
      <c r="E185" s="137">
        <f>_xlfn.BITAND(IF(ROUNDDOWN((E$8)+((D185*C$2)/C$3),0) &gt; 0, ROUNDDOWN((E$8)+((D185*C$2)/C$3),0), Customer_sheet_bidirectional!D$20 + ROUNDDOWN((E$8)+((D185*C$2)/C$3),0)),C$4)</f>
        <v>68</v>
      </c>
      <c r="F185" s="137">
        <f>(Customer_sheet_bidirectional!B$43-DAC_to_Logical_index!D185)</f>
        <v>222</v>
      </c>
    </row>
    <row r="186" spans="4:6" x14ac:dyDescent="0.25">
      <c r="D186" s="137">
        <f t="shared" si="2"/>
        <v>178</v>
      </c>
      <c r="E186" s="137">
        <f>_xlfn.BITAND(IF(ROUNDDOWN((E$8)+((D186*C$2)/C$3),0) &gt; 0, ROUNDDOWN((E$8)+((D186*C$2)/C$3),0), Customer_sheet_bidirectional!D$20 + ROUNDDOWN((E$8)+((D186*C$2)/C$3),0)),C$4)</f>
        <v>74</v>
      </c>
      <c r="F186" s="137">
        <f>(Customer_sheet_bidirectional!B$43-DAC_to_Logical_index!D186)</f>
        <v>221</v>
      </c>
    </row>
    <row r="187" spans="4:6" x14ac:dyDescent="0.25">
      <c r="D187" s="137">
        <f t="shared" si="2"/>
        <v>179</v>
      </c>
      <c r="E187" s="137">
        <f>_xlfn.BITAND(IF(ROUNDDOWN((E$8)+((D187*C$2)/C$3),0) &gt; 0, ROUNDDOWN((E$8)+((D187*C$2)/C$3),0), Customer_sheet_bidirectional!D$20 + ROUNDDOWN((E$8)+((D187*C$2)/C$3),0)),C$4)</f>
        <v>79</v>
      </c>
      <c r="F187" s="137">
        <f>(Customer_sheet_bidirectional!B$43-DAC_to_Logical_index!D187)</f>
        <v>220</v>
      </c>
    </row>
    <row r="188" spans="4:6" x14ac:dyDescent="0.25">
      <c r="D188" s="137">
        <f t="shared" si="2"/>
        <v>180</v>
      </c>
      <c r="E188" s="137">
        <f>_xlfn.BITAND(IF(ROUNDDOWN((E$8)+((D188*C$2)/C$3),0) &gt; 0, ROUNDDOWN((E$8)+((D188*C$2)/C$3),0), Customer_sheet_bidirectional!D$20 + ROUNDDOWN((E$8)+((D188*C$2)/C$3),0)),C$4)</f>
        <v>84</v>
      </c>
      <c r="F188" s="137">
        <f>(Customer_sheet_bidirectional!B$43-DAC_to_Logical_index!D188)</f>
        <v>219</v>
      </c>
    </row>
    <row r="189" spans="4:6" x14ac:dyDescent="0.25">
      <c r="D189" s="137">
        <f t="shared" si="2"/>
        <v>181</v>
      </c>
      <c r="E189" s="137">
        <f>_xlfn.BITAND(IF(ROUNDDOWN((E$8)+((D189*C$2)/C$3),0) &gt; 0, ROUNDDOWN((E$8)+((D189*C$2)/C$3),0), Customer_sheet_bidirectional!D$20 + ROUNDDOWN((E$8)+((D189*C$2)/C$3),0)),C$4)</f>
        <v>89</v>
      </c>
      <c r="F189" s="137">
        <f>(Customer_sheet_bidirectional!B$43-DAC_to_Logical_index!D189)</f>
        <v>218</v>
      </c>
    </row>
    <row r="190" spans="4:6" x14ac:dyDescent="0.25">
      <c r="D190" s="137">
        <f t="shared" si="2"/>
        <v>182</v>
      </c>
      <c r="E190" s="137">
        <f>_xlfn.BITAND(IF(ROUNDDOWN((E$8)+((D190*C$2)/C$3),0) &gt; 0, ROUNDDOWN((E$8)+((D190*C$2)/C$3),0), Customer_sheet_bidirectional!D$20 + ROUNDDOWN((E$8)+((D190*C$2)/C$3),0)),C$4)</f>
        <v>95</v>
      </c>
      <c r="F190" s="137">
        <f>(Customer_sheet_bidirectional!B$43-DAC_to_Logical_index!D190)</f>
        <v>217</v>
      </c>
    </row>
    <row r="191" spans="4:6" x14ac:dyDescent="0.25">
      <c r="D191" s="137">
        <f t="shared" si="2"/>
        <v>183</v>
      </c>
      <c r="E191" s="137">
        <f>_xlfn.BITAND(IF(ROUNDDOWN((E$8)+((D191*C$2)/C$3),0) &gt; 0, ROUNDDOWN((E$8)+((D191*C$2)/C$3),0), Customer_sheet_bidirectional!D$20 + ROUNDDOWN((E$8)+((D191*C$2)/C$3),0)),C$4)</f>
        <v>100</v>
      </c>
      <c r="F191" s="137">
        <f>(Customer_sheet_bidirectional!B$43-DAC_to_Logical_index!D191)</f>
        <v>216</v>
      </c>
    </row>
    <row r="192" spans="4:6" x14ac:dyDescent="0.25">
      <c r="D192" s="137">
        <f t="shared" si="2"/>
        <v>184</v>
      </c>
      <c r="E192" s="137">
        <f>_xlfn.BITAND(IF(ROUNDDOWN((E$8)+((D192*C$2)/C$3),0) &gt; 0, ROUNDDOWN((E$8)+((D192*C$2)/C$3),0), Customer_sheet_bidirectional!D$20 + ROUNDDOWN((E$8)+((D192*C$2)/C$3),0)),C$4)</f>
        <v>105</v>
      </c>
      <c r="F192" s="137">
        <f>(Customer_sheet_bidirectional!B$43-DAC_to_Logical_index!D192)</f>
        <v>215</v>
      </c>
    </row>
    <row r="193" spans="4:6" x14ac:dyDescent="0.25">
      <c r="D193" s="137">
        <f t="shared" si="2"/>
        <v>185</v>
      </c>
      <c r="E193" s="137">
        <f>_xlfn.BITAND(IF(ROUNDDOWN((E$8)+((D193*C$2)/C$3),0) &gt; 0, ROUNDDOWN((E$8)+((D193*C$2)/C$3),0), Customer_sheet_bidirectional!D$20 + ROUNDDOWN((E$8)+((D193*C$2)/C$3),0)),C$4)</f>
        <v>111</v>
      </c>
      <c r="F193" s="137">
        <f>(Customer_sheet_bidirectional!B$43-DAC_to_Logical_index!D193)</f>
        <v>214</v>
      </c>
    </row>
    <row r="194" spans="4:6" x14ac:dyDescent="0.25">
      <c r="D194" s="137">
        <f t="shared" si="2"/>
        <v>186</v>
      </c>
      <c r="E194" s="137">
        <f>_xlfn.BITAND(IF(ROUNDDOWN((E$8)+((D194*C$2)/C$3),0) &gt; 0, ROUNDDOWN((E$8)+((D194*C$2)/C$3),0), Customer_sheet_bidirectional!D$20 + ROUNDDOWN((E$8)+((D194*C$2)/C$3),0)),C$4)</f>
        <v>116</v>
      </c>
      <c r="F194" s="137">
        <f>(Customer_sheet_bidirectional!B$43-DAC_to_Logical_index!D194)</f>
        <v>213</v>
      </c>
    </row>
    <row r="195" spans="4:6" x14ac:dyDescent="0.25">
      <c r="D195" s="137">
        <f t="shared" si="2"/>
        <v>187</v>
      </c>
      <c r="E195" s="137">
        <f>_xlfn.BITAND(IF(ROUNDDOWN((E$8)+((D195*C$2)/C$3),0) &gt; 0, ROUNDDOWN((E$8)+((D195*C$2)/C$3),0), Customer_sheet_bidirectional!D$20 + ROUNDDOWN((E$8)+((D195*C$2)/C$3),0)),C$4)</f>
        <v>121</v>
      </c>
      <c r="F195" s="137">
        <f>(Customer_sheet_bidirectional!B$43-DAC_to_Logical_index!D195)</f>
        <v>212</v>
      </c>
    </row>
    <row r="196" spans="4:6" x14ac:dyDescent="0.25">
      <c r="D196" s="137">
        <f t="shared" si="2"/>
        <v>188</v>
      </c>
      <c r="E196" s="137">
        <f>_xlfn.BITAND(IF(ROUNDDOWN((E$8)+((D196*C$2)/C$3),0) &gt; 0, ROUNDDOWN((E$8)+((D196*C$2)/C$3),0), Customer_sheet_bidirectional!D$20 + ROUNDDOWN((E$8)+((D196*C$2)/C$3),0)),C$4)</f>
        <v>126</v>
      </c>
      <c r="F196" s="137">
        <f>(Customer_sheet_bidirectional!B$43-DAC_to_Logical_index!D196)</f>
        <v>211</v>
      </c>
    </row>
    <row r="197" spans="4:6" x14ac:dyDescent="0.25">
      <c r="D197" s="137">
        <f t="shared" si="2"/>
        <v>189</v>
      </c>
      <c r="E197" s="137">
        <f>_xlfn.BITAND(IF(ROUNDDOWN((E$8)+((D197*C$2)/C$3),0) &gt; 0, ROUNDDOWN((E$8)+((D197*C$2)/C$3),0), Customer_sheet_bidirectional!D$20 + ROUNDDOWN((E$8)+((D197*C$2)/C$3),0)),C$4)</f>
        <v>132</v>
      </c>
      <c r="F197" s="137">
        <f>(Customer_sheet_bidirectional!B$43-DAC_to_Logical_index!D197)</f>
        <v>210</v>
      </c>
    </row>
    <row r="198" spans="4:6" x14ac:dyDescent="0.25">
      <c r="D198" s="137">
        <f t="shared" si="2"/>
        <v>190</v>
      </c>
      <c r="E198" s="137">
        <f>_xlfn.BITAND(IF(ROUNDDOWN((E$8)+((D198*C$2)/C$3),0) &gt; 0, ROUNDDOWN((E$8)+((D198*C$2)/C$3),0), Customer_sheet_bidirectional!D$20 + ROUNDDOWN((E$8)+((D198*C$2)/C$3),0)),C$4)</f>
        <v>137</v>
      </c>
      <c r="F198" s="137">
        <f>(Customer_sheet_bidirectional!B$43-DAC_to_Logical_index!D198)</f>
        <v>209</v>
      </c>
    </row>
    <row r="199" spans="4:6" x14ac:dyDescent="0.25">
      <c r="D199" s="137">
        <f t="shared" si="2"/>
        <v>191</v>
      </c>
      <c r="E199" s="137">
        <f>_xlfn.BITAND(IF(ROUNDDOWN((E$8)+((D199*C$2)/C$3),0) &gt; 0, ROUNDDOWN((E$8)+((D199*C$2)/C$3),0), Customer_sheet_bidirectional!D$20 + ROUNDDOWN((E$8)+((D199*C$2)/C$3),0)),C$4)</f>
        <v>142</v>
      </c>
      <c r="F199" s="137">
        <f>(Customer_sheet_bidirectional!B$43-DAC_to_Logical_index!D199)</f>
        <v>208</v>
      </c>
    </row>
    <row r="200" spans="4:6" x14ac:dyDescent="0.25">
      <c r="D200" s="137">
        <f t="shared" si="2"/>
        <v>192</v>
      </c>
      <c r="E200" s="137">
        <f>_xlfn.BITAND(IF(ROUNDDOWN((E$8)+((D200*C$2)/C$3),0) &gt; 0, ROUNDDOWN((E$8)+((D200*C$2)/C$3),0), Customer_sheet_bidirectional!D$20 + ROUNDDOWN((E$8)+((D200*C$2)/C$3),0)),C$4)</f>
        <v>147</v>
      </c>
      <c r="F200" s="137">
        <f>(Customer_sheet_bidirectional!B$43-DAC_to_Logical_index!D200)</f>
        <v>207</v>
      </c>
    </row>
    <row r="201" spans="4:6" x14ac:dyDescent="0.25">
      <c r="D201" s="137">
        <f t="shared" ref="D201:D264" si="3">D200+1</f>
        <v>193</v>
      </c>
      <c r="E201" s="137">
        <f>_xlfn.BITAND(IF(ROUNDDOWN((E$8)+((D201*C$2)/C$3),0) &gt; 0, ROUNDDOWN((E$8)+((D201*C$2)/C$3),0), Customer_sheet_bidirectional!D$20 + ROUNDDOWN((E$8)+((D201*C$2)/C$3),0)),C$4)</f>
        <v>153</v>
      </c>
      <c r="F201" s="137">
        <f>(Customer_sheet_bidirectional!B$43-DAC_to_Logical_index!D201)</f>
        <v>206</v>
      </c>
    </row>
    <row r="202" spans="4:6" x14ac:dyDescent="0.25">
      <c r="D202" s="137">
        <f t="shared" si="3"/>
        <v>194</v>
      </c>
      <c r="E202" s="137">
        <f>_xlfn.BITAND(IF(ROUNDDOWN((E$8)+((D202*C$2)/C$3),0) &gt; 0, ROUNDDOWN((E$8)+((D202*C$2)/C$3),0), Customer_sheet_bidirectional!D$20 + ROUNDDOWN((E$8)+((D202*C$2)/C$3),0)),C$4)</f>
        <v>158</v>
      </c>
      <c r="F202" s="137">
        <f>(Customer_sheet_bidirectional!B$43-DAC_to_Logical_index!D202)</f>
        <v>205</v>
      </c>
    </row>
    <row r="203" spans="4:6" x14ac:dyDescent="0.25">
      <c r="D203" s="137">
        <f t="shared" si="3"/>
        <v>195</v>
      </c>
      <c r="E203" s="137">
        <f>_xlfn.BITAND(IF(ROUNDDOWN((E$8)+((D203*C$2)/C$3),0) &gt; 0, ROUNDDOWN((E$8)+((D203*C$2)/C$3),0), Customer_sheet_bidirectional!D$20 + ROUNDDOWN((E$8)+((D203*C$2)/C$3),0)),C$4)</f>
        <v>163</v>
      </c>
      <c r="F203" s="137">
        <f>(Customer_sheet_bidirectional!B$43-DAC_to_Logical_index!D203)</f>
        <v>204</v>
      </c>
    </row>
    <row r="204" spans="4:6" x14ac:dyDescent="0.25">
      <c r="D204" s="137">
        <f t="shared" si="3"/>
        <v>196</v>
      </c>
      <c r="E204" s="137">
        <f>_xlfn.BITAND(IF(ROUNDDOWN((E$8)+((D204*C$2)/C$3),0) &gt; 0, ROUNDDOWN((E$8)+((D204*C$2)/C$3),0), Customer_sheet_bidirectional!D$20 + ROUNDDOWN((E$8)+((D204*C$2)/C$3),0)),C$4)</f>
        <v>168</v>
      </c>
      <c r="F204" s="137">
        <f>(Customer_sheet_bidirectional!B$43-DAC_to_Logical_index!D204)</f>
        <v>203</v>
      </c>
    </row>
    <row r="205" spans="4:6" x14ac:dyDescent="0.25">
      <c r="D205" s="137">
        <f t="shared" si="3"/>
        <v>197</v>
      </c>
      <c r="E205" s="137">
        <f>_xlfn.BITAND(IF(ROUNDDOWN((E$8)+((D205*C$2)/C$3),0) &gt; 0, ROUNDDOWN((E$8)+((D205*C$2)/C$3),0), Customer_sheet_bidirectional!D$20 + ROUNDDOWN((E$8)+((D205*C$2)/C$3),0)),C$4)</f>
        <v>174</v>
      </c>
      <c r="F205" s="137">
        <f>(Customer_sheet_bidirectional!B$43-DAC_to_Logical_index!D205)</f>
        <v>202</v>
      </c>
    </row>
    <row r="206" spans="4:6" x14ac:dyDescent="0.25">
      <c r="D206" s="137">
        <f t="shared" si="3"/>
        <v>198</v>
      </c>
      <c r="E206" s="137">
        <f>_xlfn.BITAND(IF(ROUNDDOWN((E$8)+((D206*C$2)/C$3),0) &gt; 0, ROUNDDOWN((E$8)+((D206*C$2)/C$3),0), Customer_sheet_bidirectional!D$20 + ROUNDDOWN((E$8)+((D206*C$2)/C$3),0)),C$4)</f>
        <v>179</v>
      </c>
      <c r="F206" s="137">
        <f>(Customer_sheet_bidirectional!B$43-DAC_to_Logical_index!D206)</f>
        <v>201</v>
      </c>
    </row>
    <row r="207" spans="4:6" x14ac:dyDescent="0.25">
      <c r="D207" s="137">
        <f t="shared" si="3"/>
        <v>199</v>
      </c>
      <c r="E207" s="137">
        <f>_xlfn.BITAND(IF(ROUNDDOWN((E$8)+((D207*C$2)/C$3),0) &gt; 0, ROUNDDOWN((E$8)+((D207*C$2)/C$3),0), Customer_sheet_bidirectional!D$20 + ROUNDDOWN((E$8)+((D207*C$2)/C$3),0)),C$4)</f>
        <v>184</v>
      </c>
      <c r="F207" s="137">
        <f>(Customer_sheet_bidirectional!B$43-DAC_to_Logical_index!D207)</f>
        <v>200</v>
      </c>
    </row>
    <row r="208" spans="4:6" x14ac:dyDescent="0.25">
      <c r="D208" s="137">
        <f t="shared" si="3"/>
        <v>200</v>
      </c>
      <c r="E208" s="137">
        <f>_xlfn.BITAND(IF(ROUNDDOWN((E$8)+((D208*C$2)/C$3),0) &gt; 0, ROUNDDOWN((E$8)+((D208*C$2)/C$3),0), Customer_sheet_bidirectional!D$20 + ROUNDDOWN((E$8)+((D208*C$2)/C$3),0)),C$4)</f>
        <v>190</v>
      </c>
      <c r="F208" s="137">
        <f>(Customer_sheet_bidirectional!B$43-DAC_to_Logical_index!D208)</f>
        <v>199</v>
      </c>
    </row>
    <row r="209" spans="4:6" x14ac:dyDescent="0.25">
      <c r="D209" s="137">
        <f t="shared" si="3"/>
        <v>201</v>
      </c>
      <c r="E209" s="137">
        <f>_xlfn.BITAND(IF(ROUNDDOWN((E$8)+((D209*C$2)/C$3),0) &gt; 0, ROUNDDOWN((E$8)+((D209*C$2)/C$3),0), Customer_sheet_bidirectional!D$20 + ROUNDDOWN((E$8)+((D209*C$2)/C$3),0)),C$4)</f>
        <v>195</v>
      </c>
      <c r="F209" s="137">
        <f>(Customer_sheet_bidirectional!B$43-DAC_to_Logical_index!D209)</f>
        <v>198</v>
      </c>
    </row>
    <row r="210" spans="4:6" x14ac:dyDescent="0.25">
      <c r="D210" s="137">
        <f t="shared" si="3"/>
        <v>202</v>
      </c>
      <c r="E210" s="137">
        <f>_xlfn.BITAND(IF(ROUNDDOWN((E$8)+((D210*C$2)/C$3),0) &gt; 0, ROUNDDOWN((E$8)+((D210*C$2)/C$3),0), Customer_sheet_bidirectional!D$20 + ROUNDDOWN((E$8)+((D210*C$2)/C$3),0)),C$4)</f>
        <v>200</v>
      </c>
      <c r="F210" s="137">
        <f>(Customer_sheet_bidirectional!B$43-DAC_to_Logical_index!D210)</f>
        <v>197</v>
      </c>
    </row>
    <row r="211" spans="4:6" x14ac:dyDescent="0.25">
      <c r="D211" s="137">
        <f t="shared" si="3"/>
        <v>203</v>
      </c>
      <c r="E211" s="137">
        <f>_xlfn.BITAND(IF(ROUNDDOWN((E$8)+((D211*C$2)/C$3),0) &gt; 0, ROUNDDOWN((E$8)+((D211*C$2)/C$3),0), Customer_sheet_bidirectional!D$20 + ROUNDDOWN((E$8)+((D211*C$2)/C$3),0)),C$4)</f>
        <v>205</v>
      </c>
      <c r="F211" s="137">
        <f>(Customer_sheet_bidirectional!B$43-DAC_to_Logical_index!D211)</f>
        <v>196</v>
      </c>
    </row>
    <row r="212" spans="4:6" x14ac:dyDescent="0.25">
      <c r="D212" s="137">
        <f t="shared" si="3"/>
        <v>204</v>
      </c>
      <c r="E212" s="137">
        <f>_xlfn.BITAND(IF(ROUNDDOWN((E$8)+((D212*C$2)/C$3),0) &gt; 0, ROUNDDOWN((E$8)+((D212*C$2)/C$3),0), Customer_sheet_bidirectional!D$20 + ROUNDDOWN((E$8)+((D212*C$2)/C$3),0)),C$4)</f>
        <v>211</v>
      </c>
      <c r="F212" s="137">
        <f>(Customer_sheet_bidirectional!B$43-DAC_to_Logical_index!D212)</f>
        <v>195</v>
      </c>
    </row>
    <row r="213" spans="4:6" x14ac:dyDescent="0.25">
      <c r="D213" s="137">
        <f t="shared" si="3"/>
        <v>205</v>
      </c>
      <c r="E213" s="137">
        <f>_xlfn.BITAND(IF(ROUNDDOWN((E$8)+((D213*C$2)/C$3),0) &gt; 0, ROUNDDOWN((E$8)+((D213*C$2)/C$3),0), Customer_sheet_bidirectional!D$20 + ROUNDDOWN((E$8)+((D213*C$2)/C$3),0)),C$4)</f>
        <v>216</v>
      </c>
      <c r="F213" s="137">
        <f>(Customer_sheet_bidirectional!B$43-DAC_to_Logical_index!D213)</f>
        <v>194</v>
      </c>
    </row>
    <row r="214" spans="4:6" x14ac:dyDescent="0.25">
      <c r="D214" s="137">
        <f t="shared" si="3"/>
        <v>206</v>
      </c>
      <c r="E214" s="137">
        <f>_xlfn.BITAND(IF(ROUNDDOWN((E$8)+((D214*C$2)/C$3),0) &gt; 0, ROUNDDOWN((E$8)+((D214*C$2)/C$3),0), Customer_sheet_bidirectional!D$20 + ROUNDDOWN((E$8)+((D214*C$2)/C$3),0)),C$4)</f>
        <v>221</v>
      </c>
      <c r="F214" s="137">
        <f>(Customer_sheet_bidirectional!B$43-DAC_to_Logical_index!D214)</f>
        <v>193</v>
      </c>
    </row>
    <row r="215" spans="4:6" x14ac:dyDescent="0.25">
      <c r="D215" s="137">
        <f t="shared" si="3"/>
        <v>207</v>
      </c>
      <c r="E215" s="137">
        <f>_xlfn.BITAND(IF(ROUNDDOWN((E$8)+((D215*C$2)/C$3),0) &gt; 0, ROUNDDOWN((E$8)+((D215*C$2)/C$3),0), Customer_sheet_bidirectional!D$20 + ROUNDDOWN((E$8)+((D215*C$2)/C$3),0)),C$4)</f>
        <v>226</v>
      </c>
      <c r="F215" s="137">
        <f>(Customer_sheet_bidirectional!B$43-DAC_to_Logical_index!D215)</f>
        <v>192</v>
      </c>
    </row>
    <row r="216" spans="4:6" x14ac:dyDescent="0.25">
      <c r="D216" s="137">
        <f t="shared" si="3"/>
        <v>208</v>
      </c>
      <c r="E216" s="137">
        <f>_xlfn.BITAND(IF(ROUNDDOWN((E$8)+((D216*C$2)/C$3),0) &gt; 0, ROUNDDOWN((E$8)+((D216*C$2)/C$3),0), Customer_sheet_bidirectional!D$20 + ROUNDDOWN((E$8)+((D216*C$2)/C$3),0)),C$4)</f>
        <v>232</v>
      </c>
      <c r="F216" s="137">
        <f>(Customer_sheet_bidirectional!B$43-DAC_to_Logical_index!D216)</f>
        <v>191</v>
      </c>
    </row>
    <row r="217" spans="4:6" x14ac:dyDescent="0.25">
      <c r="D217" s="137">
        <f t="shared" si="3"/>
        <v>209</v>
      </c>
      <c r="E217" s="137">
        <f>_xlfn.BITAND(IF(ROUNDDOWN((E$8)+((D217*C$2)/C$3),0) &gt; 0, ROUNDDOWN((E$8)+((D217*C$2)/C$3),0), Customer_sheet_bidirectional!D$20 + ROUNDDOWN((E$8)+((D217*C$2)/C$3),0)),C$4)</f>
        <v>237</v>
      </c>
      <c r="F217" s="137">
        <f>(Customer_sheet_bidirectional!B$43-DAC_to_Logical_index!D217)</f>
        <v>190</v>
      </c>
    </row>
    <row r="218" spans="4:6" x14ac:dyDescent="0.25">
      <c r="D218" s="137">
        <f t="shared" si="3"/>
        <v>210</v>
      </c>
      <c r="E218" s="137">
        <f>_xlfn.BITAND(IF(ROUNDDOWN((E$8)+((D218*C$2)/C$3),0) &gt; 0, ROUNDDOWN((E$8)+((D218*C$2)/C$3),0), Customer_sheet_bidirectional!D$20 + ROUNDDOWN((E$8)+((D218*C$2)/C$3),0)),C$4)</f>
        <v>242</v>
      </c>
      <c r="F218" s="137">
        <f>(Customer_sheet_bidirectional!B$43-DAC_to_Logical_index!D218)</f>
        <v>189</v>
      </c>
    </row>
    <row r="219" spans="4:6" x14ac:dyDescent="0.25">
      <c r="D219" s="137">
        <f t="shared" si="3"/>
        <v>211</v>
      </c>
      <c r="E219" s="137">
        <f>_xlfn.BITAND(IF(ROUNDDOWN((E$8)+((D219*C$2)/C$3),0) &gt; 0, ROUNDDOWN((E$8)+((D219*C$2)/C$3),0), Customer_sheet_bidirectional!D$20 + ROUNDDOWN((E$8)+((D219*C$2)/C$3),0)),C$4)</f>
        <v>247</v>
      </c>
      <c r="F219" s="137">
        <f>(Customer_sheet_bidirectional!B$43-DAC_to_Logical_index!D219)</f>
        <v>188</v>
      </c>
    </row>
    <row r="220" spans="4:6" x14ac:dyDescent="0.25">
      <c r="D220" s="137">
        <f t="shared" si="3"/>
        <v>212</v>
      </c>
      <c r="E220" s="137">
        <f>_xlfn.BITAND(IF(ROUNDDOWN((E$8)+((D220*C$2)/C$3),0) &gt; 0, ROUNDDOWN((E$8)+((D220*C$2)/C$3),0), Customer_sheet_bidirectional!D$20 + ROUNDDOWN((E$8)+((D220*C$2)/C$3),0)),C$4)</f>
        <v>253</v>
      </c>
      <c r="F220" s="137">
        <f>(Customer_sheet_bidirectional!B$43-DAC_to_Logical_index!D220)</f>
        <v>187</v>
      </c>
    </row>
    <row r="221" spans="4:6" x14ac:dyDescent="0.25">
      <c r="D221" s="137">
        <f t="shared" si="3"/>
        <v>213</v>
      </c>
      <c r="E221" s="137">
        <f>_xlfn.BITAND(IF(ROUNDDOWN((E$8)+((D221*C$2)/C$3),0) &gt; 0, ROUNDDOWN((E$8)+((D221*C$2)/C$3),0), Customer_sheet_bidirectional!D$20 + ROUNDDOWN((E$8)+((D221*C$2)/C$3),0)),C$4)</f>
        <v>258</v>
      </c>
      <c r="F221" s="137">
        <f>(Customer_sheet_bidirectional!B$43-DAC_to_Logical_index!D221)</f>
        <v>186</v>
      </c>
    </row>
    <row r="222" spans="4:6" x14ac:dyDescent="0.25">
      <c r="D222" s="137">
        <f t="shared" si="3"/>
        <v>214</v>
      </c>
      <c r="E222" s="137">
        <f>_xlfn.BITAND(IF(ROUNDDOWN((E$8)+((D222*C$2)/C$3),0) &gt; 0, ROUNDDOWN((E$8)+((D222*C$2)/C$3),0), Customer_sheet_bidirectional!D$20 + ROUNDDOWN((E$8)+((D222*C$2)/C$3),0)),C$4)</f>
        <v>263</v>
      </c>
      <c r="F222" s="137">
        <f>(Customer_sheet_bidirectional!B$43-DAC_to_Logical_index!D222)</f>
        <v>185</v>
      </c>
    </row>
    <row r="223" spans="4:6" x14ac:dyDescent="0.25">
      <c r="D223" s="137">
        <f t="shared" si="3"/>
        <v>215</v>
      </c>
      <c r="E223" s="137">
        <f>_xlfn.BITAND(IF(ROUNDDOWN((E$8)+((D223*C$2)/C$3),0) &gt; 0, ROUNDDOWN((E$8)+((D223*C$2)/C$3),0), Customer_sheet_bidirectional!D$20 + ROUNDDOWN((E$8)+((D223*C$2)/C$3),0)),C$4)</f>
        <v>268</v>
      </c>
      <c r="F223" s="137">
        <f>(Customer_sheet_bidirectional!B$43-DAC_to_Logical_index!D223)</f>
        <v>184</v>
      </c>
    </row>
    <row r="224" spans="4:6" x14ac:dyDescent="0.25">
      <c r="D224" s="137">
        <f t="shared" si="3"/>
        <v>216</v>
      </c>
      <c r="E224" s="137">
        <f>_xlfn.BITAND(IF(ROUNDDOWN((E$8)+((D224*C$2)/C$3),0) &gt; 0, ROUNDDOWN((E$8)+((D224*C$2)/C$3),0), Customer_sheet_bidirectional!D$20 + ROUNDDOWN((E$8)+((D224*C$2)/C$3),0)),C$4)</f>
        <v>274</v>
      </c>
      <c r="F224" s="137">
        <f>(Customer_sheet_bidirectional!B$43-DAC_to_Logical_index!D224)</f>
        <v>183</v>
      </c>
    </row>
    <row r="225" spans="4:6" x14ac:dyDescent="0.25">
      <c r="D225" s="137">
        <f t="shared" si="3"/>
        <v>217</v>
      </c>
      <c r="E225" s="137">
        <f>_xlfn.BITAND(IF(ROUNDDOWN((E$8)+((D225*C$2)/C$3),0) &gt; 0, ROUNDDOWN((E$8)+((D225*C$2)/C$3),0), Customer_sheet_bidirectional!D$20 + ROUNDDOWN((E$8)+((D225*C$2)/C$3),0)),C$4)</f>
        <v>279</v>
      </c>
      <c r="F225" s="137">
        <f>(Customer_sheet_bidirectional!B$43-DAC_to_Logical_index!D225)</f>
        <v>182</v>
      </c>
    </row>
    <row r="226" spans="4:6" x14ac:dyDescent="0.25">
      <c r="D226" s="137">
        <f t="shared" si="3"/>
        <v>218</v>
      </c>
      <c r="E226" s="137">
        <f>_xlfn.BITAND(IF(ROUNDDOWN((E$8)+((D226*C$2)/C$3),0) &gt; 0, ROUNDDOWN((E$8)+((D226*C$2)/C$3),0), Customer_sheet_bidirectional!D$20 + ROUNDDOWN((E$8)+((D226*C$2)/C$3),0)),C$4)</f>
        <v>284</v>
      </c>
      <c r="F226" s="137">
        <f>(Customer_sheet_bidirectional!B$43-DAC_to_Logical_index!D226)</f>
        <v>181</v>
      </c>
    </row>
    <row r="227" spans="4:6" x14ac:dyDescent="0.25">
      <c r="D227" s="137">
        <f t="shared" si="3"/>
        <v>219</v>
      </c>
      <c r="E227" s="137">
        <f>_xlfn.BITAND(IF(ROUNDDOWN((E$8)+((D227*C$2)/C$3),0) &gt; 0, ROUNDDOWN((E$8)+((D227*C$2)/C$3),0), Customer_sheet_bidirectional!D$20 + ROUNDDOWN((E$8)+((D227*C$2)/C$3),0)),C$4)</f>
        <v>290</v>
      </c>
      <c r="F227" s="137">
        <f>(Customer_sheet_bidirectional!B$43-DAC_to_Logical_index!D227)</f>
        <v>180</v>
      </c>
    </row>
    <row r="228" spans="4:6" x14ac:dyDescent="0.25">
      <c r="D228" s="137">
        <f t="shared" si="3"/>
        <v>220</v>
      </c>
      <c r="E228" s="137">
        <f>_xlfn.BITAND(IF(ROUNDDOWN((E$8)+((D228*C$2)/C$3),0) &gt; 0, ROUNDDOWN((E$8)+((D228*C$2)/C$3),0), Customer_sheet_bidirectional!D$20 + ROUNDDOWN((E$8)+((D228*C$2)/C$3),0)),C$4)</f>
        <v>295</v>
      </c>
      <c r="F228" s="137">
        <f>(Customer_sheet_bidirectional!B$43-DAC_to_Logical_index!D228)</f>
        <v>179</v>
      </c>
    </row>
    <row r="229" spans="4:6" x14ac:dyDescent="0.25">
      <c r="D229" s="137">
        <f t="shared" si="3"/>
        <v>221</v>
      </c>
      <c r="E229" s="137">
        <f>_xlfn.BITAND(IF(ROUNDDOWN((E$8)+((D229*C$2)/C$3),0) &gt; 0, ROUNDDOWN((E$8)+((D229*C$2)/C$3),0), Customer_sheet_bidirectional!D$20 + ROUNDDOWN((E$8)+((D229*C$2)/C$3),0)),C$4)</f>
        <v>300</v>
      </c>
      <c r="F229" s="137">
        <f>(Customer_sheet_bidirectional!B$43-DAC_to_Logical_index!D229)</f>
        <v>178</v>
      </c>
    </row>
    <row r="230" spans="4:6" x14ac:dyDescent="0.25">
      <c r="D230" s="137">
        <f t="shared" si="3"/>
        <v>222</v>
      </c>
      <c r="E230" s="137">
        <f>_xlfn.BITAND(IF(ROUNDDOWN((E$8)+((D230*C$2)/C$3),0) &gt; 0, ROUNDDOWN((E$8)+((D230*C$2)/C$3),0), Customer_sheet_bidirectional!D$20 + ROUNDDOWN((E$8)+((D230*C$2)/C$3),0)),C$4)</f>
        <v>305</v>
      </c>
      <c r="F230" s="137">
        <f>(Customer_sheet_bidirectional!B$43-DAC_to_Logical_index!D230)</f>
        <v>177</v>
      </c>
    </row>
    <row r="231" spans="4:6" x14ac:dyDescent="0.25">
      <c r="D231" s="137">
        <f t="shared" si="3"/>
        <v>223</v>
      </c>
      <c r="E231" s="137">
        <f>_xlfn.BITAND(IF(ROUNDDOWN((E$8)+((D231*C$2)/C$3),0) &gt; 0, ROUNDDOWN((E$8)+((D231*C$2)/C$3),0), Customer_sheet_bidirectional!D$20 + ROUNDDOWN((E$8)+((D231*C$2)/C$3),0)),C$4)</f>
        <v>311</v>
      </c>
      <c r="F231" s="137">
        <f>(Customer_sheet_bidirectional!B$43-DAC_to_Logical_index!D231)</f>
        <v>176</v>
      </c>
    </row>
    <row r="232" spans="4:6" x14ac:dyDescent="0.25">
      <c r="D232" s="137">
        <f t="shared" si="3"/>
        <v>224</v>
      </c>
      <c r="E232" s="137">
        <f>_xlfn.BITAND(IF(ROUNDDOWN((E$8)+((D232*C$2)/C$3),0) &gt; 0, ROUNDDOWN((E$8)+((D232*C$2)/C$3),0), Customer_sheet_bidirectional!D$20 + ROUNDDOWN((E$8)+((D232*C$2)/C$3),0)),C$4)</f>
        <v>316</v>
      </c>
      <c r="F232" s="137">
        <f>(Customer_sheet_bidirectional!B$43-DAC_to_Logical_index!D232)</f>
        <v>175</v>
      </c>
    </row>
    <row r="233" spans="4:6" x14ac:dyDescent="0.25">
      <c r="D233" s="137">
        <f t="shared" si="3"/>
        <v>225</v>
      </c>
      <c r="E233" s="137">
        <f>_xlfn.BITAND(IF(ROUNDDOWN((E$8)+((D233*C$2)/C$3),0) &gt; 0, ROUNDDOWN((E$8)+((D233*C$2)/C$3),0), Customer_sheet_bidirectional!D$20 + ROUNDDOWN((E$8)+((D233*C$2)/C$3),0)),C$4)</f>
        <v>321</v>
      </c>
      <c r="F233" s="137">
        <f>(Customer_sheet_bidirectional!B$43-DAC_to_Logical_index!D233)</f>
        <v>174</v>
      </c>
    </row>
    <row r="234" spans="4:6" x14ac:dyDescent="0.25">
      <c r="D234" s="137">
        <f t="shared" si="3"/>
        <v>226</v>
      </c>
      <c r="E234" s="137">
        <f>_xlfn.BITAND(IF(ROUNDDOWN((E$8)+((D234*C$2)/C$3),0) &gt; 0, ROUNDDOWN((E$8)+((D234*C$2)/C$3),0), Customer_sheet_bidirectional!D$20 + ROUNDDOWN((E$8)+((D234*C$2)/C$3),0)),C$4)</f>
        <v>326</v>
      </c>
      <c r="F234" s="137">
        <f>(Customer_sheet_bidirectional!B$43-DAC_to_Logical_index!D234)</f>
        <v>173</v>
      </c>
    </row>
    <row r="235" spans="4:6" x14ac:dyDescent="0.25">
      <c r="D235" s="137">
        <f t="shared" si="3"/>
        <v>227</v>
      </c>
      <c r="E235" s="137">
        <f>_xlfn.BITAND(IF(ROUNDDOWN((E$8)+((D235*C$2)/C$3),0) &gt; 0, ROUNDDOWN((E$8)+((D235*C$2)/C$3),0), Customer_sheet_bidirectional!D$20 + ROUNDDOWN((E$8)+((D235*C$2)/C$3),0)),C$4)</f>
        <v>332</v>
      </c>
      <c r="F235" s="137">
        <f>(Customer_sheet_bidirectional!B$43-DAC_to_Logical_index!D235)</f>
        <v>172</v>
      </c>
    </row>
    <row r="236" spans="4:6" x14ac:dyDescent="0.25">
      <c r="D236" s="137">
        <f t="shared" si="3"/>
        <v>228</v>
      </c>
      <c r="E236" s="137">
        <f>_xlfn.BITAND(IF(ROUNDDOWN((E$8)+((D236*C$2)/C$3),0) &gt; 0, ROUNDDOWN((E$8)+((D236*C$2)/C$3),0), Customer_sheet_bidirectional!D$20 + ROUNDDOWN((E$8)+((D236*C$2)/C$3),0)),C$4)</f>
        <v>337</v>
      </c>
      <c r="F236" s="137">
        <f>(Customer_sheet_bidirectional!B$43-DAC_to_Logical_index!D236)</f>
        <v>171</v>
      </c>
    </row>
    <row r="237" spans="4:6" x14ac:dyDescent="0.25">
      <c r="D237" s="137">
        <f t="shared" si="3"/>
        <v>229</v>
      </c>
      <c r="E237" s="137">
        <f>_xlfn.BITAND(IF(ROUNDDOWN((E$8)+((D237*C$2)/C$3),0) &gt; 0, ROUNDDOWN((E$8)+((D237*C$2)/C$3),0), Customer_sheet_bidirectional!D$20 + ROUNDDOWN((E$8)+((D237*C$2)/C$3),0)),C$4)</f>
        <v>342</v>
      </c>
      <c r="F237" s="137">
        <f>(Customer_sheet_bidirectional!B$43-DAC_to_Logical_index!D237)</f>
        <v>170</v>
      </c>
    </row>
    <row r="238" spans="4:6" x14ac:dyDescent="0.25">
      <c r="D238" s="137">
        <f t="shared" si="3"/>
        <v>230</v>
      </c>
      <c r="E238" s="137">
        <f>_xlfn.BITAND(IF(ROUNDDOWN((E$8)+((D238*C$2)/C$3),0) &gt; 0, ROUNDDOWN((E$8)+((D238*C$2)/C$3),0), Customer_sheet_bidirectional!D$20 + ROUNDDOWN((E$8)+((D238*C$2)/C$3),0)),C$4)</f>
        <v>347</v>
      </c>
      <c r="F238" s="137">
        <f>(Customer_sheet_bidirectional!B$43-DAC_to_Logical_index!D238)</f>
        <v>169</v>
      </c>
    </row>
    <row r="239" spans="4:6" x14ac:dyDescent="0.25">
      <c r="D239" s="137">
        <f t="shared" si="3"/>
        <v>231</v>
      </c>
      <c r="E239" s="137">
        <f>_xlfn.BITAND(IF(ROUNDDOWN((E$8)+((D239*C$2)/C$3),0) &gt; 0, ROUNDDOWN((E$8)+((D239*C$2)/C$3),0), Customer_sheet_bidirectional!D$20 + ROUNDDOWN((E$8)+((D239*C$2)/C$3),0)),C$4)</f>
        <v>353</v>
      </c>
      <c r="F239" s="137">
        <f>(Customer_sheet_bidirectional!B$43-DAC_to_Logical_index!D239)</f>
        <v>168</v>
      </c>
    </row>
    <row r="240" spans="4:6" x14ac:dyDescent="0.25">
      <c r="D240" s="137">
        <f t="shared" si="3"/>
        <v>232</v>
      </c>
      <c r="E240" s="137">
        <f>_xlfn.BITAND(IF(ROUNDDOWN((E$8)+((D240*C$2)/C$3),0) &gt; 0, ROUNDDOWN((E$8)+((D240*C$2)/C$3),0), Customer_sheet_bidirectional!D$20 + ROUNDDOWN((E$8)+((D240*C$2)/C$3),0)),C$4)</f>
        <v>358</v>
      </c>
      <c r="F240" s="137">
        <f>(Customer_sheet_bidirectional!B$43-DAC_to_Logical_index!D240)</f>
        <v>167</v>
      </c>
    </row>
    <row r="241" spans="4:6" x14ac:dyDescent="0.25">
      <c r="D241" s="137">
        <f t="shared" si="3"/>
        <v>233</v>
      </c>
      <c r="E241" s="137">
        <f>_xlfn.BITAND(IF(ROUNDDOWN((E$8)+((D241*C$2)/C$3),0) &gt; 0, ROUNDDOWN((E$8)+((D241*C$2)/C$3),0), Customer_sheet_bidirectional!D$20 + ROUNDDOWN((E$8)+((D241*C$2)/C$3),0)),C$4)</f>
        <v>363</v>
      </c>
      <c r="F241" s="137">
        <f>(Customer_sheet_bidirectional!B$43-DAC_to_Logical_index!D241)</f>
        <v>166</v>
      </c>
    </row>
    <row r="242" spans="4:6" x14ac:dyDescent="0.25">
      <c r="D242" s="137">
        <f t="shared" si="3"/>
        <v>234</v>
      </c>
      <c r="E242" s="137">
        <f>_xlfn.BITAND(IF(ROUNDDOWN((E$8)+((D242*C$2)/C$3),0) &gt; 0, ROUNDDOWN((E$8)+((D242*C$2)/C$3),0), Customer_sheet_bidirectional!D$20 + ROUNDDOWN((E$8)+((D242*C$2)/C$3),0)),C$4)</f>
        <v>369</v>
      </c>
      <c r="F242" s="137">
        <f>(Customer_sheet_bidirectional!B$43-DAC_to_Logical_index!D242)</f>
        <v>165</v>
      </c>
    </row>
    <row r="243" spans="4:6" x14ac:dyDescent="0.25">
      <c r="D243" s="137">
        <f t="shared" si="3"/>
        <v>235</v>
      </c>
      <c r="E243" s="137">
        <f>_xlfn.BITAND(IF(ROUNDDOWN((E$8)+((D243*C$2)/C$3),0) &gt; 0, ROUNDDOWN((E$8)+((D243*C$2)/C$3),0), Customer_sheet_bidirectional!D$20 + ROUNDDOWN((E$8)+((D243*C$2)/C$3),0)),C$4)</f>
        <v>374</v>
      </c>
      <c r="F243" s="137">
        <f>(Customer_sheet_bidirectional!B$43-DAC_to_Logical_index!D243)</f>
        <v>164</v>
      </c>
    </row>
    <row r="244" spans="4:6" x14ac:dyDescent="0.25">
      <c r="D244" s="137">
        <f t="shared" si="3"/>
        <v>236</v>
      </c>
      <c r="E244" s="137">
        <f>_xlfn.BITAND(IF(ROUNDDOWN((E$8)+((D244*C$2)/C$3),0) &gt; 0, ROUNDDOWN((E$8)+((D244*C$2)/C$3),0), Customer_sheet_bidirectional!D$20 + ROUNDDOWN((E$8)+((D244*C$2)/C$3),0)),C$4)</f>
        <v>379</v>
      </c>
      <c r="F244" s="137">
        <f>(Customer_sheet_bidirectional!B$43-DAC_to_Logical_index!D244)</f>
        <v>163</v>
      </c>
    </row>
    <row r="245" spans="4:6" x14ac:dyDescent="0.25">
      <c r="D245" s="137">
        <f t="shared" si="3"/>
        <v>237</v>
      </c>
      <c r="E245" s="137">
        <f>_xlfn.BITAND(IF(ROUNDDOWN((E$8)+((D245*C$2)/C$3),0) &gt; 0, ROUNDDOWN((E$8)+((D245*C$2)/C$3),0), Customer_sheet_bidirectional!D$20 + ROUNDDOWN((E$8)+((D245*C$2)/C$3),0)),C$4)</f>
        <v>384</v>
      </c>
      <c r="F245" s="137">
        <f>(Customer_sheet_bidirectional!B$43-DAC_to_Logical_index!D245)</f>
        <v>162</v>
      </c>
    </row>
    <row r="246" spans="4:6" x14ac:dyDescent="0.25">
      <c r="D246" s="137">
        <f t="shared" si="3"/>
        <v>238</v>
      </c>
      <c r="E246" s="137">
        <f>_xlfn.BITAND(IF(ROUNDDOWN((E$8)+((D246*C$2)/C$3),0) &gt; 0, ROUNDDOWN((E$8)+((D246*C$2)/C$3),0), Customer_sheet_bidirectional!D$20 + ROUNDDOWN((E$8)+((D246*C$2)/C$3),0)),C$4)</f>
        <v>390</v>
      </c>
      <c r="F246" s="137">
        <f>(Customer_sheet_bidirectional!B$43-DAC_to_Logical_index!D246)</f>
        <v>161</v>
      </c>
    </row>
    <row r="247" spans="4:6" x14ac:dyDescent="0.25">
      <c r="D247" s="137">
        <f t="shared" si="3"/>
        <v>239</v>
      </c>
      <c r="E247" s="137">
        <f>_xlfn.BITAND(IF(ROUNDDOWN((E$8)+((D247*C$2)/C$3),0) &gt; 0, ROUNDDOWN((E$8)+((D247*C$2)/C$3),0), Customer_sheet_bidirectional!D$20 + ROUNDDOWN((E$8)+((D247*C$2)/C$3),0)),C$4)</f>
        <v>395</v>
      </c>
      <c r="F247" s="137">
        <f>(Customer_sheet_bidirectional!B$43-DAC_to_Logical_index!D247)</f>
        <v>160</v>
      </c>
    </row>
    <row r="248" spans="4:6" x14ac:dyDescent="0.25">
      <c r="D248" s="137">
        <f t="shared" si="3"/>
        <v>240</v>
      </c>
      <c r="E248" s="137">
        <f>_xlfn.BITAND(IF(ROUNDDOWN((E$8)+((D248*C$2)/C$3),0) &gt; 0, ROUNDDOWN((E$8)+((D248*C$2)/C$3),0), Customer_sheet_bidirectional!D$20 + ROUNDDOWN((E$8)+((D248*C$2)/C$3),0)),C$4)</f>
        <v>400</v>
      </c>
      <c r="F248" s="137">
        <f>(Customer_sheet_bidirectional!B$43-DAC_to_Logical_index!D248)</f>
        <v>159</v>
      </c>
    </row>
    <row r="249" spans="4:6" x14ac:dyDescent="0.25">
      <c r="D249" s="137">
        <f t="shared" si="3"/>
        <v>241</v>
      </c>
      <c r="E249" s="137">
        <f>_xlfn.BITAND(IF(ROUNDDOWN((E$8)+((D249*C$2)/C$3),0) &gt; 0, ROUNDDOWN((E$8)+((D249*C$2)/C$3),0), Customer_sheet_bidirectional!D$20 + ROUNDDOWN((E$8)+((D249*C$2)/C$3),0)),C$4)</f>
        <v>405</v>
      </c>
      <c r="F249" s="137">
        <f>(Customer_sheet_bidirectional!B$43-DAC_to_Logical_index!D249)</f>
        <v>158</v>
      </c>
    </row>
    <row r="250" spans="4:6" x14ac:dyDescent="0.25">
      <c r="D250" s="137">
        <f t="shared" si="3"/>
        <v>242</v>
      </c>
      <c r="E250" s="137">
        <f>_xlfn.BITAND(IF(ROUNDDOWN((E$8)+((D250*C$2)/C$3),0) &gt; 0, ROUNDDOWN((E$8)+((D250*C$2)/C$3),0), Customer_sheet_bidirectional!D$20 + ROUNDDOWN((E$8)+((D250*C$2)/C$3),0)),C$4)</f>
        <v>411</v>
      </c>
      <c r="F250" s="137">
        <f>(Customer_sheet_bidirectional!B$43-DAC_to_Logical_index!D250)</f>
        <v>157</v>
      </c>
    </row>
    <row r="251" spans="4:6" x14ac:dyDescent="0.25">
      <c r="D251" s="137">
        <f t="shared" si="3"/>
        <v>243</v>
      </c>
      <c r="E251" s="137">
        <f>_xlfn.BITAND(IF(ROUNDDOWN((E$8)+((D251*C$2)/C$3),0) &gt; 0, ROUNDDOWN((E$8)+((D251*C$2)/C$3),0), Customer_sheet_bidirectional!D$20 + ROUNDDOWN((E$8)+((D251*C$2)/C$3),0)),C$4)</f>
        <v>416</v>
      </c>
      <c r="F251" s="137">
        <f>(Customer_sheet_bidirectional!B$43-DAC_to_Logical_index!D251)</f>
        <v>156</v>
      </c>
    </row>
    <row r="252" spans="4:6" x14ac:dyDescent="0.25">
      <c r="D252" s="137">
        <f t="shared" si="3"/>
        <v>244</v>
      </c>
      <c r="E252" s="137">
        <f>_xlfn.BITAND(IF(ROUNDDOWN((E$8)+((D252*C$2)/C$3),0) &gt; 0, ROUNDDOWN((E$8)+((D252*C$2)/C$3),0), Customer_sheet_bidirectional!D$20 + ROUNDDOWN((E$8)+((D252*C$2)/C$3),0)),C$4)</f>
        <v>421</v>
      </c>
      <c r="F252" s="137">
        <f>(Customer_sheet_bidirectional!B$43-DAC_to_Logical_index!D252)</f>
        <v>155</v>
      </c>
    </row>
    <row r="253" spans="4:6" x14ac:dyDescent="0.25">
      <c r="D253" s="137">
        <f t="shared" si="3"/>
        <v>245</v>
      </c>
      <c r="E253" s="137">
        <f>_xlfn.BITAND(IF(ROUNDDOWN((E$8)+((D253*C$2)/C$3),0) &gt; 0, ROUNDDOWN((E$8)+((D253*C$2)/C$3),0), Customer_sheet_bidirectional!D$20 + ROUNDDOWN((E$8)+((D253*C$2)/C$3),0)),C$4)</f>
        <v>426</v>
      </c>
      <c r="F253" s="137">
        <f>(Customer_sheet_bidirectional!B$43-DAC_to_Logical_index!D253)</f>
        <v>154</v>
      </c>
    </row>
    <row r="254" spans="4:6" x14ac:dyDescent="0.25">
      <c r="D254" s="137">
        <f t="shared" si="3"/>
        <v>246</v>
      </c>
      <c r="E254" s="137">
        <f>_xlfn.BITAND(IF(ROUNDDOWN((E$8)+((D254*C$2)/C$3),0) &gt; 0, ROUNDDOWN((E$8)+((D254*C$2)/C$3),0), Customer_sheet_bidirectional!D$20 + ROUNDDOWN((E$8)+((D254*C$2)/C$3),0)),C$4)</f>
        <v>432</v>
      </c>
      <c r="F254" s="137">
        <f>(Customer_sheet_bidirectional!B$43-DAC_to_Logical_index!D254)</f>
        <v>153</v>
      </c>
    </row>
    <row r="255" spans="4:6" x14ac:dyDescent="0.25">
      <c r="D255" s="137">
        <f t="shared" si="3"/>
        <v>247</v>
      </c>
      <c r="E255" s="137">
        <f>_xlfn.BITAND(IF(ROUNDDOWN((E$8)+((D255*C$2)/C$3),0) &gt; 0, ROUNDDOWN((E$8)+((D255*C$2)/C$3),0), Customer_sheet_bidirectional!D$20 + ROUNDDOWN((E$8)+((D255*C$2)/C$3),0)),C$4)</f>
        <v>437</v>
      </c>
      <c r="F255" s="137">
        <f>(Customer_sheet_bidirectional!B$43-DAC_to_Logical_index!D255)</f>
        <v>152</v>
      </c>
    </row>
    <row r="256" spans="4:6" x14ac:dyDescent="0.25">
      <c r="D256" s="137">
        <f t="shared" si="3"/>
        <v>248</v>
      </c>
      <c r="E256" s="137">
        <f>_xlfn.BITAND(IF(ROUNDDOWN((E$8)+((D256*C$2)/C$3),0) &gt; 0, ROUNDDOWN((E$8)+((D256*C$2)/C$3),0), Customer_sheet_bidirectional!D$20 + ROUNDDOWN((E$8)+((D256*C$2)/C$3),0)),C$4)</f>
        <v>442</v>
      </c>
      <c r="F256" s="137">
        <f>(Customer_sheet_bidirectional!B$43-DAC_to_Logical_index!D256)</f>
        <v>151</v>
      </c>
    </row>
    <row r="257" spans="4:6" x14ac:dyDescent="0.25">
      <c r="D257" s="137">
        <f t="shared" si="3"/>
        <v>249</v>
      </c>
      <c r="E257" s="137">
        <f>_xlfn.BITAND(IF(ROUNDDOWN((E$8)+((D257*C$2)/C$3),0) &gt; 0, ROUNDDOWN((E$8)+((D257*C$2)/C$3),0), Customer_sheet_bidirectional!D$20 + ROUNDDOWN((E$8)+((D257*C$2)/C$3),0)),C$4)</f>
        <v>447</v>
      </c>
      <c r="F257" s="137">
        <f>(Customer_sheet_bidirectional!B$43-DAC_to_Logical_index!D257)</f>
        <v>150</v>
      </c>
    </row>
    <row r="258" spans="4:6" x14ac:dyDescent="0.25">
      <c r="D258" s="137">
        <f t="shared" si="3"/>
        <v>250</v>
      </c>
      <c r="E258" s="137">
        <f>_xlfn.BITAND(IF(ROUNDDOWN((E$8)+((D258*C$2)/C$3),0) &gt; 0, ROUNDDOWN((E$8)+((D258*C$2)/C$3),0), Customer_sheet_bidirectional!D$20 + ROUNDDOWN((E$8)+((D258*C$2)/C$3),0)),C$4)</f>
        <v>453</v>
      </c>
      <c r="F258" s="137">
        <f>(Customer_sheet_bidirectional!B$43-DAC_to_Logical_index!D258)</f>
        <v>149</v>
      </c>
    </row>
    <row r="259" spans="4:6" x14ac:dyDescent="0.25">
      <c r="D259" s="137">
        <f t="shared" si="3"/>
        <v>251</v>
      </c>
      <c r="E259" s="137">
        <f>_xlfn.BITAND(IF(ROUNDDOWN((E$8)+((D259*C$2)/C$3),0) &gt; 0, ROUNDDOWN((E$8)+((D259*C$2)/C$3),0), Customer_sheet_bidirectional!D$20 + ROUNDDOWN((E$8)+((D259*C$2)/C$3),0)),C$4)</f>
        <v>458</v>
      </c>
      <c r="F259" s="137">
        <f>(Customer_sheet_bidirectional!B$43-DAC_to_Logical_index!D259)</f>
        <v>148</v>
      </c>
    </row>
    <row r="260" spans="4:6" x14ac:dyDescent="0.25">
      <c r="D260" s="137">
        <f t="shared" si="3"/>
        <v>252</v>
      </c>
      <c r="E260" s="137">
        <f>_xlfn.BITAND(IF(ROUNDDOWN((E$8)+((D260*C$2)/C$3),0) &gt; 0, ROUNDDOWN((E$8)+((D260*C$2)/C$3),0), Customer_sheet_bidirectional!D$20 + ROUNDDOWN((E$8)+((D260*C$2)/C$3),0)),C$4)</f>
        <v>463</v>
      </c>
      <c r="F260" s="137">
        <f>(Customer_sheet_bidirectional!B$43-DAC_to_Logical_index!D260)</f>
        <v>147</v>
      </c>
    </row>
    <row r="261" spans="4:6" x14ac:dyDescent="0.25">
      <c r="D261" s="137">
        <f t="shared" si="3"/>
        <v>253</v>
      </c>
      <c r="E261" s="137">
        <f>_xlfn.BITAND(IF(ROUNDDOWN((E$8)+((D261*C$2)/C$3),0) &gt; 0, ROUNDDOWN((E$8)+((D261*C$2)/C$3),0), Customer_sheet_bidirectional!D$20 + ROUNDDOWN((E$8)+((D261*C$2)/C$3),0)),C$4)</f>
        <v>469</v>
      </c>
      <c r="F261" s="137">
        <f>(Customer_sheet_bidirectional!B$43-DAC_to_Logical_index!D261)</f>
        <v>146</v>
      </c>
    </row>
    <row r="262" spans="4:6" x14ac:dyDescent="0.25">
      <c r="D262" s="137">
        <f t="shared" si="3"/>
        <v>254</v>
      </c>
      <c r="E262" s="137">
        <f>_xlfn.BITAND(IF(ROUNDDOWN((E$8)+((D262*C$2)/C$3),0) &gt; 0, ROUNDDOWN((E$8)+((D262*C$2)/C$3),0), Customer_sheet_bidirectional!D$20 + ROUNDDOWN((E$8)+((D262*C$2)/C$3),0)),C$4)</f>
        <v>474</v>
      </c>
      <c r="F262" s="137">
        <f>(Customer_sheet_bidirectional!B$43-DAC_to_Logical_index!D262)</f>
        <v>145</v>
      </c>
    </row>
    <row r="263" spans="4:6" x14ac:dyDescent="0.25">
      <c r="D263" s="137">
        <f t="shared" si="3"/>
        <v>255</v>
      </c>
      <c r="E263" s="137">
        <f>_xlfn.BITAND(IF(ROUNDDOWN((E$8)+((D263*C$2)/C$3),0) &gt; 0, ROUNDDOWN((E$8)+((D263*C$2)/C$3),0), Customer_sheet_bidirectional!D$20 + ROUNDDOWN((E$8)+((D263*C$2)/C$3),0)),C$4)</f>
        <v>479</v>
      </c>
      <c r="F263" s="137">
        <f>(Customer_sheet_bidirectional!B$43-DAC_to_Logical_index!D263)</f>
        <v>144</v>
      </c>
    </row>
    <row r="264" spans="4:6" x14ac:dyDescent="0.25">
      <c r="D264" s="137">
        <f t="shared" si="3"/>
        <v>256</v>
      </c>
      <c r="E264" s="137">
        <f>_xlfn.BITAND(IF(ROUNDDOWN((E$8)+((D264*C$2)/C$3),0) &gt; 0, ROUNDDOWN((E$8)+((D264*C$2)/C$3),0), Customer_sheet_bidirectional!D$20 + ROUNDDOWN((E$8)+((D264*C$2)/C$3),0)),C$4)</f>
        <v>484</v>
      </c>
      <c r="F264" s="137">
        <f>(Customer_sheet_bidirectional!B$43-DAC_to_Logical_index!D264)</f>
        <v>143</v>
      </c>
    </row>
    <row r="265" spans="4:6" x14ac:dyDescent="0.25">
      <c r="D265" s="137">
        <f t="shared" ref="D265:D331" si="4">D264+1</f>
        <v>257</v>
      </c>
      <c r="E265" s="137">
        <f>_xlfn.BITAND(IF(ROUNDDOWN((E$8)+((D265*C$2)/C$3),0) &gt; 0, ROUNDDOWN((E$8)+((D265*C$2)/C$3),0), Customer_sheet_bidirectional!D$20 + ROUNDDOWN((E$8)+((D265*C$2)/C$3),0)),C$4)</f>
        <v>490</v>
      </c>
      <c r="F265" s="137">
        <f>(Customer_sheet_bidirectional!B$43-DAC_to_Logical_index!D265)</f>
        <v>142</v>
      </c>
    </row>
    <row r="266" spans="4:6" x14ac:dyDescent="0.25">
      <c r="D266" s="137">
        <f t="shared" si="4"/>
        <v>258</v>
      </c>
      <c r="E266" s="137">
        <f>_xlfn.BITAND(IF(ROUNDDOWN((E$8)+((D266*C$2)/C$3),0) &gt; 0, ROUNDDOWN((E$8)+((D266*C$2)/C$3),0), Customer_sheet_bidirectional!D$20 + ROUNDDOWN((E$8)+((D266*C$2)/C$3),0)),C$4)</f>
        <v>495</v>
      </c>
      <c r="F266" s="137">
        <f>(Customer_sheet_bidirectional!B$43-DAC_to_Logical_index!D266)</f>
        <v>141</v>
      </c>
    </row>
    <row r="267" spans="4:6" x14ac:dyDescent="0.25">
      <c r="D267" s="137">
        <f t="shared" si="4"/>
        <v>259</v>
      </c>
      <c r="E267" s="137">
        <f>_xlfn.BITAND(IF(ROUNDDOWN((E$8)+((D267*C$2)/C$3),0) &gt; 0, ROUNDDOWN((E$8)+((D267*C$2)/C$3),0), Customer_sheet_bidirectional!D$20 + ROUNDDOWN((E$8)+((D267*C$2)/C$3),0)),C$4)</f>
        <v>500</v>
      </c>
      <c r="F267" s="137">
        <f>(Customer_sheet_bidirectional!B$43-DAC_to_Logical_index!D267)</f>
        <v>140</v>
      </c>
    </row>
    <row r="268" spans="4:6" x14ac:dyDescent="0.25">
      <c r="D268" s="137">
        <f t="shared" si="4"/>
        <v>260</v>
      </c>
      <c r="E268" s="137">
        <f>_xlfn.BITAND(IF(ROUNDDOWN((E$8)+((D268*C$2)/C$3),0) &gt; 0, ROUNDDOWN((E$8)+((D268*C$2)/C$3),0), Customer_sheet_bidirectional!D$20 + ROUNDDOWN((E$8)+((D268*C$2)/C$3),0)),C$4)</f>
        <v>505</v>
      </c>
      <c r="F268" s="137">
        <f>(Customer_sheet_bidirectional!B$43-DAC_to_Logical_index!D268)</f>
        <v>139</v>
      </c>
    </row>
    <row r="269" spans="4:6" x14ac:dyDescent="0.25">
      <c r="D269" s="137">
        <f t="shared" si="4"/>
        <v>261</v>
      </c>
      <c r="E269" s="137">
        <f>_xlfn.BITAND(IF(ROUNDDOWN((E$8)+((D269*C$2)/C$3),0) &gt; 0, ROUNDDOWN((E$8)+((D269*C$2)/C$3),0), Customer_sheet_bidirectional!D$20 + ROUNDDOWN((E$8)+((D269*C$2)/C$3),0)),C$4)</f>
        <v>511</v>
      </c>
      <c r="F269" s="137">
        <f>(Customer_sheet_bidirectional!B$43-DAC_to_Logical_index!D269)</f>
        <v>138</v>
      </c>
    </row>
    <row r="270" spans="4:6" x14ac:dyDescent="0.25">
      <c r="D270" s="137">
        <f t="shared" si="4"/>
        <v>262</v>
      </c>
      <c r="E270" s="137">
        <f>_xlfn.BITAND(IF(ROUNDDOWN((E$8)+((D270*C$2)/C$3),0) &gt; 0, ROUNDDOWN((E$8)+((D270*C$2)/C$3),0), Customer_sheet_bidirectional!D$20 + ROUNDDOWN((E$8)+((D270*C$2)/C$3),0)),C$4)</f>
        <v>516</v>
      </c>
      <c r="F270" s="137">
        <f>(Customer_sheet_bidirectional!B$43-DAC_to_Logical_index!D270)</f>
        <v>137</v>
      </c>
    </row>
    <row r="271" spans="4:6" x14ac:dyDescent="0.25">
      <c r="D271" s="137">
        <f t="shared" si="4"/>
        <v>263</v>
      </c>
      <c r="E271" s="137">
        <f>_xlfn.BITAND(IF(ROUNDDOWN((E$8)+((D271*C$2)/C$3),0) &gt; 0, ROUNDDOWN((E$8)+((D271*C$2)/C$3),0), Customer_sheet_bidirectional!D$20 + ROUNDDOWN((E$8)+((D271*C$2)/C$3),0)),C$4)</f>
        <v>521</v>
      </c>
      <c r="F271" s="137">
        <f>(Customer_sheet_bidirectional!B$43-DAC_to_Logical_index!D271)</f>
        <v>136</v>
      </c>
    </row>
    <row r="272" spans="4:6" x14ac:dyDescent="0.25">
      <c r="D272" s="137">
        <f t="shared" si="4"/>
        <v>264</v>
      </c>
      <c r="E272" s="137">
        <f>_xlfn.BITAND(IF(ROUNDDOWN((E$8)+((D272*C$2)/C$3),0) &gt; 0, ROUNDDOWN((E$8)+((D272*C$2)/C$3),0), Customer_sheet_bidirectional!D$20 + ROUNDDOWN((E$8)+((D272*C$2)/C$3),0)),C$4)</f>
        <v>526</v>
      </c>
      <c r="F272" s="137">
        <f>(Customer_sheet_bidirectional!B$43-DAC_to_Logical_index!D272)</f>
        <v>135</v>
      </c>
    </row>
    <row r="273" spans="4:6" x14ac:dyDescent="0.25">
      <c r="D273" s="137">
        <f t="shared" si="4"/>
        <v>265</v>
      </c>
      <c r="E273" s="137">
        <f>_xlfn.BITAND(IF(ROUNDDOWN((E$8)+((D273*C$2)/C$3),0) &gt; 0, ROUNDDOWN((E$8)+((D273*C$2)/C$3),0), Customer_sheet_bidirectional!D$20 + ROUNDDOWN((E$8)+((D273*C$2)/C$3),0)),C$4)</f>
        <v>532</v>
      </c>
      <c r="F273" s="137">
        <f>(Customer_sheet_bidirectional!B$43-DAC_to_Logical_index!D273)</f>
        <v>134</v>
      </c>
    </row>
    <row r="274" spans="4:6" x14ac:dyDescent="0.25">
      <c r="D274" s="137">
        <f t="shared" si="4"/>
        <v>266</v>
      </c>
      <c r="E274" s="137">
        <f>_xlfn.BITAND(IF(ROUNDDOWN((E$8)+((D274*C$2)/C$3),0) &gt; 0, ROUNDDOWN((E$8)+((D274*C$2)/C$3),0), Customer_sheet_bidirectional!D$20 + ROUNDDOWN((E$8)+((D274*C$2)/C$3),0)),C$4)</f>
        <v>537</v>
      </c>
      <c r="F274" s="137">
        <f>(Customer_sheet_bidirectional!B$43-DAC_to_Logical_index!D274)</f>
        <v>133</v>
      </c>
    </row>
    <row r="275" spans="4:6" x14ac:dyDescent="0.25">
      <c r="D275" s="137">
        <f t="shared" si="4"/>
        <v>267</v>
      </c>
      <c r="E275" s="137">
        <f>_xlfn.BITAND(IF(ROUNDDOWN((E$8)+((D275*C$2)/C$3),0) &gt; 0, ROUNDDOWN((E$8)+((D275*C$2)/C$3),0), Customer_sheet_bidirectional!D$20 + ROUNDDOWN((E$8)+((D275*C$2)/C$3),0)),C$4)</f>
        <v>542</v>
      </c>
      <c r="F275" s="137">
        <f>(Customer_sheet_bidirectional!B$43-DAC_to_Logical_index!D275)</f>
        <v>132</v>
      </c>
    </row>
    <row r="276" spans="4:6" x14ac:dyDescent="0.25">
      <c r="D276" s="137">
        <f t="shared" si="4"/>
        <v>268</v>
      </c>
      <c r="E276" s="137">
        <f>_xlfn.BITAND(IF(ROUNDDOWN((E$8)+((D276*C$2)/C$3),0) &gt; 0, ROUNDDOWN((E$8)+((D276*C$2)/C$3),0), Customer_sheet_bidirectional!D$20 + ROUNDDOWN((E$8)+((D276*C$2)/C$3),0)),C$4)</f>
        <v>548</v>
      </c>
      <c r="F276" s="137">
        <f>(Customer_sheet_bidirectional!B$43-DAC_to_Logical_index!D276)</f>
        <v>131</v>
      </c>
    </row>
    <row r="277" spans="4:6" x14ac:dyDescent="0.25">
      <c r="D277" s="137">
        <f t="shared" si="4"/>
        <v>269</v>
      </c>
      <c r="E277" s="137">
        <f>_xlfn.BITAND(IF(ROUNDDOWN((E$8)+((D277*C$2)/C$3),0) &gt; 0, ROUNDDOWN((E$8)+((D277*C$2)/C$3),0), Customer_sheet_bidirectional!D$20 + ROUNDDOWN((E$8)+((D277*C$2)/C$3),0)),C$4)</f>
        <v>553</v>
      </c>
      <c r="F277" s="137">
        <f>(Customer_sheet_bidirectional!B$43-DAC_to_Logical_index!D277)</f>
        <v>130</v>
      </c>
    </row>
    <row r="278" spans="4:6" x14ac:dyDescent="0.25">
      <c r="D278" s="137">
        <f t="shared" si="4"/>
        <v>270</v>
      </c>
      <c r="E278" s="137">
        <f>_xlfn.BITAND(IF(ROUNDDOWN((E$8)+((D278*C$2)/C$3),0) &gt; 0, ROUNDDOWN((E$8)+((D278*C$2)/C$3),0), Customer_sheet_bidirectional!D$20 + ROUNDDOWN((E$8)+((D278*C$2)/C$3),0)),C$4)</f>
        <v>558</v>
      </c>
      <c r="F278" s="137">
        <f>(Customer_sheet_bidirectional!B$43-DAC_to_Logical_index!D278)</f>
        <v>129</v>
      </c>
    </row>
    <row r="279" spans="4:6" x14ac:dyDescent="0.25">
      <c r="D279" s="137">
        <f t="shared" si="4"/>
        <v>271</v>
      </c>
      <c r="E279" s="137">
        <f>_xlfn.BITAND(IF(ROUNDDOWN((E$8)+((D279*C$2)/C$3),0) &gt; 0, ROUNDDOWN((E$8)+((D279*C$2)/C$3),0), Customer_sheet_bidirectional!D$20 + ROUNDDOWN((E$8)+((D279*C$2)/C$3),0)),C$4)</f>
        <v>563</v>
      </c>
      <c r="F279" s="137">
        <f>(Customer_sheet_bidirectional!B$43-DAC_to_Logical_index!D279)</f>
        <v>128</v>
      </c>
    </row>
    <row r="280" spans="4:6" x14ac:dyDescent="0.25">
      <c r="D280" s="137">
        <f t="shared" si="4"/>
        <v>272</v>
      </c>
      <c r="E280" s="137">
        <f>_xlfn.BITAND(IF(ROUNDDOWN((E$8)+((D280*C$2)/C$3),0) &gt; 0, ROUNDDOWN((E$8)+((D280*C$2)/C$3),0), Customer_sheet_bidirectional!D$20 + ROUNDDOWN((E$8)+((D280*C$2)/C$3),0)),C$4)</f>
        <v>569</v>
      </c>
      <c r="F280" s="137">
        <f>(Customer_sheet_bidirectional!B$43-DAC_to_Logical_index!D280)</f>
        <v>127</v>
      </c>
    </row>
    <row r="281" spans="4:6" x14ac:dyDescent="0.25">
      <c r="D281" s="137">
        <f t="shared" si="4"/>
        <v>273</v>
      </c>
      <c r="E281" s="137">
        <f>_xlfn.BITAND(IF(ROUNDDOWN((E$8)+((D281*C$2)/C$3),0) &gt; 0, ROUNDDOWN((E$8)+((D281*C$2)/C$3),0), Customer_sheet_bidirectional!D$20 + ROUNDDOWN((E$8)+((D281*C$2)/C$3),0)),C$4)</f>
        <v>574</v>
      </c>
      <c r="F281" s="137">
        <f>(Customer_sheet_bidirectional!B$43-DAC_to_Logical_index!D281)</f>
        <v>126</v>
      </c>
    </row>
    <row r="282" spans="4:6" x14ac:dyDescent="0.25">
      <c r="D282" s="137">
        <f t="shared" si="4"/>
        <v>274</v>
      </c>
      <c r="E282" s="137">
        <f>_xlfn.BITAND(IF(ROUNDDOWN((E$8)+((D282*C$2)/C$3),0) &gt; 0, ROUNDDOWN((E$8)+((D282*C$2)/C$3),0), Customer_sheet_bidirectional!D$20 + ROUNDDOWN((E$8)+((D282*C$2)/C$3),0)),C$4)</f>
        <v>579</v>
      </c>
      <c r="F282" s="137">
        <f>(Customer_sheet_bidirectional!B$43-DAC_to_Logical_index!D282)</f>
        <v>125</v>
      </c>
    </row>
    <row r="283" spans="4:6" x14ac:dyDescent="0.25">
      <c r="D283" s="137">
        <f t="shared" si="4"/>
        <v>275</v>
      </c>
      <c r="E283" s="137">
        <f>_xlfn.BITAND(IF(ROUNDDOWN((E$8)+((D283*C$2)/C$3),0) &gt; 0, ROUNDDOWN((E$8)+((D283*C$2)/C$3),0), Customer_sheet_bidirectional!D$20 + ROUNDDOWN((E$8)+((D283*C$2)/C$3),0)),C$4)</f>
        <v>584</v>
      </c>
      <c r="F283" s="137">
        <f>(Customer_sheet_bidirectional!B$43-DAC_to_Logical_index!D283)</f>
        <v>124</v>
      </c>
    </row>
    <row r="284" spans="4:6" x14ac:dyDescent="0.25">
      <c r="D284" s="137">
        <f t="shared" si="4"/>
        <v>276</v>
      </c>
      <c r="E284" s="137">
        <f>_xlfn.BITAND(IF(ROUNDDOWN((E$8)+((D284*C$2)/C$3),0) &gt; 0, ROUNDDOWN((E$8)+((D284*C$2)/C$3),0), Customer_sheet_bidirectional!D$20 + ROUNDDOWN((E$8)+((D284*C$2)/C$3),0)),C$4)</f>
        <v>590</v>
      </c>
      <c r="F284" s="137">
        <f>(Customer_sheet_bidirectional!B$43-DAC_to_Logical_index!D284)</f>
        <v>123</v>
      </c>
    </row>
    <row r="285" spans="4:6" x14ac:dyDescent="0.25">
      <c r="D285" s="137">
        <f t="shared" si="4"/>
        <v>277</v>
      </c>
      <c r="E285" s="137">
        <f>_xlfn.BITAND(IF(ROUNDDOWN((E$8)+((D285*C$2)/C$3),0) &gt; 0, ROUNDDOWN((E$8)+((D285*C$2)/C$3),0), Customer_sheet_bidirectional!D$20 + ROUNDDOWN((E$8)+((D285*C$2)/C$3),0)),C$4)</f>
        <v>595</v>
      </c>
      <c r="F285" s="137">
        <f>(Customer_sheet_bidirectional!B$43-DAC_to_Logical_index!D285)</f>
        <v>122</v>
      </c>
    </row>
    <row r="286" spans="4:6" x14ac:dyDescent="0.25">
      <c r="D286" s="137">
        <f t="shared" si="4"/>
        <v>278</v>
      </c>
      <c r="E286" s="137">
        <f>_xlfn.BITAND(IF(ROUNDDOWN((E$8)+((D286*C$2)/C$3),0) &gt; 0, ROUNDDOWN((E$8)+((D286*C$2)/C$3),0), Customer_sheet_bidirectional!D$20 + ROUNDDOWN((E$8)+((D286*C$2)/C$3),0)),C$4)</f>
        <v>600</v>
      </c>
      <c r="F286" s="137">
        <f>(Customer_sheet_bidirectional!B$43-DAC_to_Logical_index!D286)</f>
        <v>121</v>
      </c>
    </row>
    <row r="287" spans="4:6" x14ac:dyDescent="0.25">
      <c r="D287" s="137">
        <f t="shared" si="4"/>
        <v>279</v>
      </c>
      <c r="E287" s="137">
        <f>_xlfn.BITAND(IF(ROUNDDOWN((E$8)+((D287*C$2)/C$3),0) &gt; 0, ROUNDDOWN((E$8)+((D287*C$2)/C$3),0), Customer_sheet_bidirectional!D$20 + ROUNDDOWN((E$8)+((D287*C$2)/C$3),0)),C$4)</f>
        <v>605</v>
      </c>
      <c r="F287" s="137">
        <f>(Customer_sheet_bidirectional!B$43-DAC_to_Logical_index!D287)</f>
        <v>120</v>
      </c>
    </row>
    <row r="288" spans="4:6" x14ac:dyDescent="0.25">
      <c r="D288" s="137">
        <f t="shared" si="4"/>
        <v>280</v>
      </c>
      <c r="E288" s="137">
        <f>_xlfn.BITAND(IF(ROUNDDOWN((E$8)+((D288*C$2)/C$3),0) &gt; 0, ROUNDDOWN((E$8)+((D288*C$2)/C$3),0), Customer_sheet_bidirectional!D$20 + ROUNDDOWN((E$8)+((D288*C$2)/C$3),0)),C$4)</f>
        <v>611</v>
      </c>
      <c r="F288" s="137">
        <f>(Customer_sheet_bidirectional!B$43-DAC_to_Logical_index!D288)</f>
        <v>119</v>
      </c>
    </row>
    <row r="289" spans="4:6" x14ac:dyDescent="0.25">
      <c r="D289" s="137">
        <f t="shared" si="4"/>
        <v>281</v>
      </c>
      <c r="E289" s="137">
        <f>_xlfn.BITAND(IF(ROUNDDOWN((E$8)+((D289*C$2)/C$3),0) &gt; 0, ROUNDDOWN((E$8)+((D289*C$2)/C$3),0), Customer_sheet_bidirectional!D$20 + ROUNDDOWN((E$8)+((D289*C$2)/C$3),0)),C$4)</f>
        <v>616</v>
      </c>
      <c r="F289" s="137">
        <f>(Customer_sheet_bidirectional!B$43-DAC_to_Logical_index!D289)</f>
        <v>118</v>
      </c>
    </row>
    <row r="290" spans="4:6" x14ac:dyDescent="0.25">
      <c r="D290" s="137">
        <f t="shared" si="4"/>
        <v>282</v>
      </c>
      <c r="E290" s="137">
        <f>_xlfn.BITAND(IF(ROUNDDOWN((E$8)+((D290*C$2)/C$3),0) &gt; 0, ROUNDDOWN((E$8)+((D290*C$2)/C$3),0), Customer_sheet_bidirectional!D$20 + ROUNDDOWN((E$8)+((D290*C$2)/C$3),0)),C$4)</f>
        <v>621</v>
      </c>
      <c r="F290" s="137">
        <f>(Customer_sheet_bidirectional!B$43-DAC_to_Logical_index!D290)</f>
        <v>117</v>
      </c>
    </row>
    <row r="291" spans="4:6" x14ac:dyDescent="0.25">
      <c r="D291" s="137">
        <f t="shared" si="4"/>
        <v>283</v>
      </c>
      <c r="E291" s="137">
        <f>_xlfn.BITAND(IF(ROUNDDOWN((E$8)+((D291*C$2)/C$3),0) &gt; 0, ROUNDDOWN((E$8)+((D291*C$2)/C$3),0), Customer_sheet_bidirectional!D$20 + ROUNDDOWN((E$8)+((D291*C$2)/C$3),0)),C$4)</f>
        <v>626</v>
      </c>
      <c r="F291" s="137">
        <f>(Customer_sheet_bidirectional!B$43-DAC_to_Logical_index!D291)</f>
        <v>116</v>
      </c>
    </row>
    <row r="292" spans="4:6" x14ac:dyDescent="0.25">
      <c r="D292" s="137">
        <f t="shared" si="4"/>
        <v>284</v>
      </c>
      <c r="E292" s="137">
        <f>_xlfn.BITAND(IF(ROUNDDOWN((E$8)+((D292*C$2)/C$3),0) &gt; 0, ROUNDDOWN((E$8)+((D292*C$2)/C$3),0), Customer_sheet_bidirectional!D$20 + ROUNDDOWN((E$8)+((D292*C$2)/C$3),0)),C$4)</f>
        <v>632</v>
      </c>
      <c r="F292" s="137">
        <f>(Customer_sheet_bidirectional!B$43-DAC_to_Logical_index!D292)</f>
        <v>115</v>
      </c>
    </row>
    <row r="293" spans="4:6" x14ac:dyDescent="0.25">
      <c r="D293" s="137">
        <f t="shared" si="4"/>
        <v>285</v>
      </c>
      <c r="E293" s="137">
        <f>_xlfn.BITAND(IF(ROUNDDOWN((E$8)+((D293*C$2)/C$3),0) &gt; 0, ROUNDDOWN((E$8)+((D293*C$2)/C$3),0), Customer_sheet_bidirectional!D$20 + ROUNDDOWN((E$8)+((D293*C$2)/C$3),0)),C$4)</f>
        <v>637</v>
      </c>
      <c r="F293" s="137">
        <f>(Customer_sheet_bidirectional!B$43-DAC_to_Logical_index!D293)</f>
        <v>114</v>
      </c>
    </row>
    <row r="294" spans="4:6" x14ac:dyDescent="0.25">
      <c r="D294" s="137">
        <f t="shared" si="4"/>
        <v>286</v>
      </c>
      <c r="E294" s="137">
        <f>_xlfn.BITAND(IF(ROUNDDOWN((E$8)+((D294*C$2)/C$3),0) &gt; 0, ROUNDDOWN((E$8)+((D294*C$2)/C$3),0), Customer_sheet_bidirectional!D$20 + ROUNDDOWN((E$8)+((D294*C$2)/C$3),0)),C$4)</f>
        <v>642</v>
      </c>
      <c r="F294" s="137">
        <f>(Customer_sheet_bidirectional!B$43-DAC_to_Logical_index!D294)</f>
        <v>113</v>
      </c>
    </row>
    <row r="295" spans="4:6" x14ac:dyDescent="0.25">
      <c r="D295" s="137">
        <f t="shared" si="4"/>
        <v>287</v>
      </c>
      <c r="E295" s="137">
        <f>_xlfn.BITAND(IF(ROUNDDOWN((E$8)+((D295*C$2)/C$3),0) &gt; 0, ROUNDDOWN((E$8)+((D295*C$2)/C$3),0), Customer_sheet_bidirectional!D$20 + ROUNDDOWN((E$8)+((D295*C$2)/C$3),0)),C$4)</f>
        <v>648</v>
      </c>
      <c r="F295" s="137">
        <f>(Customer_sheet_bidirectional!B$43-DAC_to_Logical_index!D295)</f>
        <v>112</v>
      </c>
    </row>
    <row r="296" spans="4:6" x14ac:dyDescent="0.25">
      <c r="D296" s="137">
        <f t="shared" si="4"/>
        <v>288</v>
      </c>
      <c r="E296" s="137">
        <f>_xlfn.BITAND(IF(ROUNDDOWN((E$8)+((D296*C$2)/C$3),0) &gt; 0, ROUNDDOWN((E$8)+((D296*C$2)/C$3),0), Customer_sheet_bidirectional!D$20 + ROUNDDOWN((E$8)+((D296*C$2)/C$3),0)),C$4)</f>
        <v>653</v>
      </c>
      <c r="F296" s="137">
        <f>(Customer_sheet_bidirectional!B$43-DAC_to_Logical_index!D296)</f>
        <v>111</v>
      </c>
    </row>
    <row r="297" spans="4:6" x14ac:dyDescent="0.25">
      <c r="D297" s="137">
        <f t="shared" si="4"/>
        <v>289</v>
      </c>
      <c r="E297" s="137">
        <f>_xlfn.BITAND(IF(ROUNDDOWN((E$8)+((D297*C$2)/C$3),0) &gt; 0, ROUNDDOWN((E$8)+((D297*C$2)/C$3),0), Customer_sheet_bidirectional!D$20 + ROUNDDOWN((E$8)+((D297*C$2)/C$3),0)),C$4)</f>
        <v>658</v>
      </c>
      <c r="F297" s="137">
        <f>(Customer_sheet_bidirectional!B$43-DAC_to_Logical_index!D297)</f>
        <v>110</v>
      </c>
    </row>
    <row r="298" spans="4:6" x14ac:dyDescent="0.25">
      <c r="D298" s="137">
        <f t="shared" si="4"/>
        <v>290</v>
      </c>
      <c r="E298" s="137">
        <f>_xlfn.BITAND(IF(ROUNDDOWN((E$8)+((D298*C$2)/C$3),0) &gt; 0, ROUNDDOWN((E$8)+((D298*C$2)/C$3),0), Customer_sheet_bidirectional!D$20 + ROUNDDOWN((E$8)+((D298*C$2)/C$3),0)),C$4)</f>
        <v>663</v>
      </c>
      <c r="F298" s="137">
        <f>(Customer_sheet_bidirectional!B$43-DAC_to_Logical_index!D298)</f>
        <v>109</v>
      </c>
    </row>
    <row r="299" spans="4:6" x14ac:dyDescent="0.25">
      <c r="D299" s="137">
        <f t="shared" si="4"/>
        <v>291</v>
      </c>
      <c r="E299" s="137">
        <f>_xlfn.BITAND(IF(ROUNDDOWN((E$8)+((D299*C$2)/C$3),0) &gt; 0, ROUNDDOWN((E$8)+((D299*C$2)/C$3),0), Customer_sheet_bidirectional!D$20 + ROUNDDOWN((E$8)+((D299*C$2)/C$3),0)),C$4)</f>
        <v>669</v>
      </c>
      <c r="F299" s="137">
        <f>(Customer_sheet_bidirectional!B$43-DAC_to_Logical_index!D299)</f>
        <v>108</v>
      </c>
    </row>
    <row r="300" spans="4:6" x14ac:dyDescent="0.25">
      <c r="D300" s="137">
        <f t="shared" si="4"/>
        <v>292</v>
      </c>
      <c r="E300" s="137">
        <f>_xlfn.BITAND(IF(ROUNDDOWN((E$8)+((D300*C$2)/C$3),0) &gt; 0, ROUNDDOWN((E$8)+((D300*C$2)/C$3),0), Customer_sheet_bidirectional!D$20 + ROUNDDOWN((E$8)+((D300*C$2)/C$3),0)),C$4)</f>
        <v>674</v>
      </c>
      <c r="F300" s="137">
        <f>(Customer_sheet_bidirectional!B$43-DAC_to_Logical_index!D300)</f>
        <v>107</v>
      </c>
    </row>
    <row r="301" spans="4:6" x14ac:dyDescent="0.25">
      <c r="D301" s="137">
        <f t="shared" si="4"/>
        <v>293</v>
      </c>
      <c r="E301" s="137">
        <f>_xlfn.BITAND(IF(ROUNDDOWN((E$8)+((D301*C$2)/C$3),0) &gt; 0, ROUNDDOWN((E$8)+((D301*C$2)/C$3),0), Customer_sheet_bidirectional!D$20 + ROUNDDOWN((E$8)+((D301*C$2)/C$3),0)),C$4)</f>
        <v>679</v>
      </c>
      <c r="F301" s="137">
        <f>(Customer_sheet_bidirectional!B$43-DAC_to_Logical_index!D301)</f>
        <v>106</v>
      </c>
    </row>
    <row r="302" spans="4:6" x14ac:dyDescent="0.25">
      <c r="D302" s="137">
        <f t="shared" si="4"/>
        <v>294</v>
      </c>
      <c r="E302" s="137">
        <f>_xlfn.BITAND(IF(ROUNDDOWN((E$8)+((D302*C$2)/C$3),0) &gt; 0, ROUNDDOWN((E$8)+((D302*C$2)/C$3),0), Customer_sheet_bidirectional!D$20 + ROUNDDOWN((E$8)+((D302*C$2)/C$3),0)),C$4)</f>
        <v>684</v>
      </c>
      <c r="F302" s="137">
        <f>(Customer_sheet_bidirectional!B$43-DAC_to_Logical_index!D302)</f>
        <v>105</v>
      </c>
    </row>
    <row r="303" spans="4:6" x14ac:dyDescent="0.25">
      <c r="D303" s="137">
        <f t="shared" si="4"/>
        <v>295</v>
      </c>
      <c r="E303" s="137">
        <f>_xlfn.BITAND(IF(ROUNDDOWN((E$8)+((D303*C$2)/C$3),0) &gt; 0, ROUNDDOWN((E$8)+((D303*C$2)/C$3),0), Customer_sheet_bidirectional!D$20 + ROUNDDOWN((E$8)+((D303*C$2)/C$3),0)),C$4)</f>
        <v>690</v>
      </c>
      <c r="F303" s="137">
        <f>(Customer_sheet_bidirectional!B$43-DAC_to_Logical_index!D303)</f>
        <v>104</v>
      </c>
    </row>
    <row r="304" spans="4:6" x14ac:dyDescent="0.25">
      <c r="D304" s="137">
        <f t="shared" si="4"/>
        <v>296</v>
      </c>
      <c r="E304" s="137">
        <f>_xlfn.BITAND(IF(ROUNDDOWN((E$8)+((D304*C$2)/C$3),0) &gt; 0, ROUNDDOWN((E$8)+((D304*C$2)/C$3),0), Customer_sheet_bidirectional!D$20 + ROUNDDOWN((E$8)+((D304*C$2)/C$3),0)),C$4)</f>
        <v>695</v>
      </c>
      <c r="F304" s="137">
        <f>(Customer_sheet_bidirectional!B$43-DAC_to_Logical_index!D304)</f>
        <v>103</v>
      </c>
    </row>
    <row r="305" spans="4:6" x14ac:dyDescent="0.25">
      <c r="D305" s="137">
        <f t="shared" si="4"/>
        <v>297</v>
      </c>
      <c r="E305" s="137">
        <f>_xlfn.BITAND(IF(ROUNDDOWN((E$8)+((D305*C$2)/C$3),0) &gt; 0, ROUNDDOWN((E$8)+((D305*C$2)/C$3),0), Customer_sheet_bidirectional!D$20 + ROUNDDOWN((E$8)+((D305*C$2)/C$3),0)),C$4)</f>
        <v>700</v>
      </c>
      <c r="F305" s="137">
        <f>(Customer_sheet_bidirectional!B$43-DAC_to_Logical_index!D305)</f>
        <v>102</v>
      </c>
    </row>
    <row r="306" spans="4:6" x14ac:dyDescent="0.25">
      <c r="D306" s="137">
        <f t="shared" si="4"/>
        <v>298</v>
      </c>
      <c r="E306" s="137">
        <f>_xlfn.BITAND(IF(ROUNDDOWN((E$8)+((D306*C$2)/C$3),0) &gt; 0, ROUNDDOWN((E$8)+((D306*C$2)/C$3),0), Customer_sheet_bidirectional!D$20 + ROUNDDOWN((E$8)+((D306*C$2)/C$3),0)),C$4)</f>
        <v>705</v>
      </c>
      <c r="F306" s="137">
        <f>(Customer_sheet_bidirectional!B$43-DAC_to_Logical_index!D306)</f>
        <v>101</v>
      </c>
    </row>
    <row r="307" spans="4:6" x14ac:dyDescent="0.25">
      <c r="D307" s="137">
        <f t="shared" si="4"/>
        <v>299</v>
      </c>
      <c r="E307" s="137">
        <f>_xlfn.BITAND(IF(ROUNDDOWN((E$8)+((D307*C$2)/C$3),0) &gt; 0, ROUNDDOWN((E$8)+((D307*C$2)/C$3),0), Customer_sheet_bidirectional!D$20 + ROUNDDOWN((E$8)+((D307*C$2)/C$3),0)),C$4)</f>
        <v>711</v>
      </c>
      <c r="F307" s="137">
        <f>(Customer_sheet_bidirectional!B$43-DAC_to_Logical_index!D307)</f>
        <v>100</v>
      </c>
    </row>
    <row r="308" spans="4:6" x14ac:dyDescent="0.25">
      <c r="D308" s="137">
        <f t="shared" si="4"/>
        <v>300</v>
      </c>
      <c r="E308" s="137">
        <f>_xlfn.BITAND(IF(ROUNDDOWN((E$8)+((D308*C$2)/C$3),0) &gt; 0, ROUNDDOWN((E$8)+((D308*C$2)/C$3),0), Customer_sheet_bidirectional!D$20 + ROUNDDOWN((E$8)+((D308*C$2)/C$3),0)),C$4)</f>
        <v>716</v>
      </c>
      <c r="F308" s="137">
        <f>(Customer_sheet_bidirectional!B$43-DAC_to_Logical_index!D308)</f>
        <v>99</v>
      </c>
    </row>
    <row r="309" spans="4:6" x14ac:dyDescent="0.25">
      <c r="D309" s="137">
        <f t="shared" si="4"/>
        <v>301</v>
      </c>
      <c r="E309" s="137">
        <f>_xlfn.BITAND(IF(ROUNDDOWN((E$8)+((D309*C$2)/C$3),0) &gt; 0, ROUNDDOWN((E$8)+((D309*C$2)/C$3),0), Customer_sheet_bidirectional!D$20 + ROUNDDOWN((E$8)+((D309*C$2)/C$3),0)),C$4)</f>
        <v>721</v>
      </c>
      <c r="F309" s="137">
        <f>(Customer_sheet_bidirectional!B$43-DAC_to_Logical_index!D309)</f>
        <v>98</v>
      </c>
    </row>
    <row r="310" spans="4:6" x14ac:dyDescent="0.25">
      <c r="D310" s="137">
        <f t="shared" si="4"/>
        <v>302</v>
      </c>
      <c r="E310" s="137">
        <f>_xlfn.BITAND(IF(ROUNDDOWN((E$8)+((D310*C$2)/C$3),0) &gt; 0, ROUNDDOWN((E$8)+((D310*C$2)/C$3),0), Customer_sheet_bidirectional!D$20 + ROUNDDOWN((E$8)+((D310*C$2)/C$3),0)),C$4)</f>
        <v>727</v>
      </c>
      <c r="F310" s="137">
        <f>(Customer_sheet_bidirectional!B$43-DAC_to_Logical_index!D310)</f>
        <v>97</v>
      </c>
    </row>
    <row r="311" spans="4:6" x14ac:dyDescent="0.25">
      <c r="D311" s="137">
        <f t="shared" si="4"/>
        <v>303</v>
      </c>
      <c r="E311" s="137">
        <f>_xlfn.BITAND(IF(ROUNDDOWN((E$8)+((D311*C$2)/C$3),0) &gt; 0, ROUNDDOWN((E$8)+((D311*C$2)/C$3),0), Customer_sheet_bidirectional!D$20 + ROUNDDOWN((E$8)+((D311*C$2)/C$3),0)),C$4)</f>
        <v>732</v>
      </c>
      <c r="F311" s="137">
        <f>(Customer_sheet_bidirectional!B$43-DAC_to_Logical_index!D311)</f>
        <v>96</v>
      </c>
    </row>
    <row r="312" spans="4:6" x14ac:dyDescent="0.25">
      <c r="D312" s="137">
        <f t="shared" si="4"/>
        <v>304</v>
      </c>
      <c r="E312" s="137">
        <f>_xlfn.BITAND(IF(ROUNDDOWN((E$8)+((D312*C$2)/C$3),0) &gt; 0, ROUNDDOWN((E$8)+((D312*C$2)/C$3),0), Customer_sheet_bidirectional!D$20 + ROUNDDOWN((E$8)+((D312*C$2)/C$3),0)),C$4)</f>
        <v>737</v>
      </c>
      <c r="F312" s="137">
        <f>(Customer_sheet_bidirectional!B$43-DAC_to_Logical_index!D312)</f>
        <v>95</v>
      </c>
    </row>
    <row r="313" spans="4:6" x14ac:dyDescent="0.25">
      <c r="D313" s="137">
        <f t="shared" si="4"/>
        <v>305</v>
      </c>
      <c r="E313" s="137">
        <f>_xlfn.BITAND(IF(ROUNDDOWN((E$8)+((D313*C$2)/C$3),0) &gt; 0, ROUNDDOWN((E$8)+((D313*C$2)/C$3),0), Customer_sheet_bidirectional!D$20 + ROUNDDOWN((E$8)+((D313*C$2)/C$3),0)),C$4)</f>
        <v>742</v>
      </c>
      <c r="F313" s="137">
        <f>(Customer_sheet_bidirectional!B$43-DAC_to_Logical_index!D313)</f>
        <v>94</v>
      </c>
    </row>
    <row r="314" spans="4:6" x14ac:dyDescent="0.25">
      <c r="D314" s="137">
        <f t="shared" si="4"/>
        <v>306</v>
      </c>
      <c r="E314" s="137">
        <f>_xlfn.BITAND(IF(ROUNDDOWN((E$8)+((D314*C$2)/C$3),0) &gt; 0, ROUNDDOWN((E$8)+((D314*C$2)/C$3),0), Customer_sheet_bidirectional!D$20 + ROUNDDOWN((E$8)+((D314*C$2)/C$3),0)),C$4)</f>
        <v>748</v>
      </c>
      <c r="F314" s="137">
        <f>(Customer_sheet_bidirectional!B$43-DAC_to_Logical_index!D314)</f>
        <v>93</v>
      </c>
    </row>
    <row r="315" spans="4:6" x14ac:dyDescent="0.25">
      <c r="D315" s="137">
        <f t="shared" si="4"/>
        <v>307</v>
      </c>
      <c r="E315" s="137">
        <f>_xlfn.BITAND(IF(ROUNDDOWN((E$8)+((D315*C$2)/C$3),0) &gt; 0, ROUNDDOWN((E$8)+((D315*C$2)/C$3),0), Customer_sheet_bidirectional!D$20 + ROUNDDOWN((E$8)+((D315*C$2)/C$3),0)),C$4)</f>
        <v>753</v>
      </c>
      <c r="F315" s="137">
        <f>(Customer_sheet_bidirectional!B$43-DAC_to_Logical_index!D315)</f>
        <v>92</v>
      </c>
    </row>
    <row r="316" spans="4:6" x14ac:dyDescent="0.25">
      <c r="D316" s="137">
        <f t="shared" si="4"/>
        <v>308</v>
      </c>
      <c r="E316" s="137">
        <f>_xlfn.BITAND(IF(ROUNDDOWN((E$8)+((D316*C$2)/C$3),0) &gt; 0, ROUNDDOWN((E$8)+((D316*C$2)/C$3),0), Customer_sheet_bidirectional!D$20 + ROUNDDOWN((E$8)+((D316*C$2)/C$3),0)),C$4)</f>
        <v>758</v>
      </c>
      <c r="F316" s="137">
        <f>(Customer_sheet_bidirectional!B$43-DAC_to_Logical_index!D316)</f>
        <v>91</v>
      </c>
    </row>
    <row r="317" spans="4:6" x14ac:dyDescent="0.25">
      <c r="D317" s="137">
        <f t="shared" si="4"/>
        <v>309</v>
      </c>
      <c r="E317" s="137">
        <f>_xlfn.BITAND(IF(ROUNDDOWN((E$8)+((D317*C$2)/C$3),0) &gt; 0, ROUNDDOWN((E$8)+((D317*C$2)/C$3),0), Customer_sheet_bidirectional!D$20 + ROUNDDOWN((E$8)+((D317*C$2)/C$3),0)),C$4)</f>
        <v>763</v>
      </c>
      <c r="F317" s="137">
        <f>(Customer_sheet_bidirectional!B$43-DAC_to_Logical_index!D317)</f>
        <v>90</v>
      </c>
    </row>
    <row r="318" spans="4:6" x14ac:dyDescent="0.25">
      <c r="D318" s="137">
        <f t="shared" si="4"/>
        <v>310</v>
      </c>
      <c r="E318" s="137">
        <f>_xlfn.BITAND(IF(ROUNDDOWN((E$8)+((D318*C$2)/C$3),0) &gt; 0, ROUNDDOWN((E$8)+((D318*C$2)/C$3),0), Customer_sheet_bidirectional!D$20 + ROUNDDOWN((E$8)+((D318*C$2)/C$3),0)),C$4)</f>
        <v>769</v>
      </c>
      <c r="F318" s="137">
        <f>(Customer_sheet_bidirectional!B$43-DAC_to_Logical_index!D318)</f>
        <v>89</v>
      </c>
    </row>
    <row r="319" spans="4:6" x14ac:dyDescent="0.25">
      <c r="D319" s="137">
        <f t="shared" si="4"/>
        <v>311</v>
      </c>
      <c r="E319" s="137">
        <f>_xlfn.BITAND(IF(ROUNDDOWN((E$8)+((D319*C$2)/C$3),0) &gt; 0, ROUNDDOWN((E$8)+((D319*C$2)/C$3),0), Customer_sheet_bidirectional!D$20 + ROUNDDOWN((E$8)+((D319*C$2)/C$3),0)),C$4)</f>
        <v>774</v>
      </c>
      <c r="F319" s="137">
        <f>(Customer_sheet_bidirectional!B$43-DAC_to_Logical_index!D319)</f>
        <v>88</v>
      </c>
    </row>
    <row r="320" spans="4:6" x14ac:dyDescent="0.25">
      <c r="D320" s="137">
        <f t="shared" si="4"/>
        <v>312</v>
      </c>
      <c r="E320" s="137">
        <f>_xlfn.BITAND(IF(ROUNDDOWN((E$8)+((D320*C$2)/C$3),0) &gt; 0, ROUNDDOWN((E$8)+((D320*C$2)/C$3),0), Customer_sheet_bidirectional!D$20 + ROUNDDOWN((E$8)+((D320*C$2)/C$3),0)),C$4)</f>
        <v>779</v>
      </c>
      <c r="F320" s="137">
        <f>(Customer_sheet_bidirectional!B$43-DAC_to_Logical_index!D320)</f>
        <v>87</v>
      </c>
    </row>
    <row r="321" spans="4:6" x14ac:dyDescent="0.25">
      <c r="D321" s="137">
        <f t="shared" si="4"/>
        <v>313</v>
      </c>
      <c r="E321" s="137">
        <f>_xlfn.BITAND(IF(ROUNDDOWN((E$8)+((D321*C$2)/C$3),0) &gt; 0, ROUNDDOWN((E$8)+((D321*C$2)/C$3),0), Customer_sheet_bidirectional!D$20 + ROUNDDOWN((E$8)+((D321*C$2)/C$3),0)),C$4)</f>
        <v>784</v>
      </c>
      <c r="F321" s="137">
        <f>(Customer_sheet_bidirectional!B$43-DAC_to_Logical_index!D321)</f>
        <v>86</v>
      </c>
    </row>
    <row r="322" spans="4:6" x14ac:dyDescent="0.25">
      <c r="D322" s="137">
        <f t="shared" si="4"/>
        <v>314</v>
      </c>
      <c r="E322" s="137">
        <f>_xlfn.BITAND(IF(ROUNDDOWN((E$8)+((D322*C$2)/C$3),0) &gt; 0, ROUNDDOWN((E$8)+((D322*C$2)/C$3),0), Customer_sheet_bidirectional!D$20 + ROUNDDOWN((E$8)+((D322*C$2)/C$3),0)),C$4)</f>
        <v>790</v>
      </c>
      <c r="F322" s="137">
        <f>(Customer_sheet_bidirectional!B$43-DAC_to_Logical_index!D322)</f>
        <v>85</v>
      </c>
    </row>
    <row r="323" spans="4:6" x14ac:dyDescent="0.25">
      <c r="D323" s="137">
        <f t="shared" si="4"/>
        <v>315</v>
      </c>
      <c r="E323" s="137">
        <f>_xlfn.BITAND(IF(ROUNDDOWN((E$8)+((D323*C$2)/C$3),0) &gt; 0, ROUNDDOWN((E$8)+((D323*C$2)/C$3),0), Customer_sheet_bidirectional!D$20 + ROUNDDOWN((E$8)+((D323*C$2)/C$3),0)),C$4)</f>
        <v>795</v>
      </c>
      <c r="F323" s="137">
        <f>(Customer_sheet_bidirectional!B$43-DAC_to_Logical_index!D323)</f>
        <v>84</v>
      </c>
    </row>
    <row r="324" spans="4:6" x14ac:dyDescent="0.25">
      <c r="D324" s="137">
        <f t="shared" si="4"/>
        <v>316</v>
      </c>
      <c r="E324" s="137">
        <f>_xlfn.BITAND(IF(ROUNDDOWN((E$8)+((D324*C$2)/C$3),0) &gt; 0, ROUNDDOWN((E$8)+((D324*C$2)/C$3),0), Customer_sheet_bidirectional!D$20 + ROUNDDOWN((E$8)+((D324*C$2)/C$3),0)),C$4)</f>
        <v>800</v>
      </c>
      <c r="F324" s="137">
        <f>(Customer_sheet_bidirectional!B$43-DAC_to_Logical_index!D324)</f>
        <v>83</v>
      </c>
    </row>
    <row r="325" spans="4:6" x14ac:dyDescent="0.25">
      <c r="D325" s="137">
        <f t="shared" si="4"/>
        <v>317</v>
      </c>
      <c r="E325" s="137">
        <f>_xlfn.BITAND(IF(ROUNDDOWN((E$8)+((D325*C$2)/C$3),0) &gt; 0, ROUNDDOWN((E$8)+((D325*C$2)/C$3),0), Customer_sheet_bidirectional!D$20 + ROUNDDOWN((E$8)+((D325*C$2)/C$3),0)),C$4)</f>
        <v>806</v>
      </c>
      <c r="F325" s="137">
        <f>(Customer_sheet_bidirectional!B$43-DAC_to_Logical_index!D325)</f>
        <v>82</v>
      </c>
    </row>
    <row r="326" spans="4:6" x14ac:dyDescent="0.25">
      <c r="D326" s="137">
        <f t="shared" si="4"/>
        <v>318</v>
      </c>
      <c r="E326" s="137">
        <f>_xlfn.BITAND(IF(ROUNDDOWN((E$8)+((D326*C$2)/C$3),0) &gt; 0, ROUNDDOWN((E$8)+((D326*C$2)/C$3),0), Customer_sheet_bidirectional!D$20 + ROUNDDOWN((E$8)+((D326*C$2)/C$3),0)),C$4)</f>
        <v>811</v>
      </c>
      <c r="F326" s="137">
        <f>(Customer_sheet_bidirectional!B$43-DAC_to_Logical_index!D326)</f>
        <v>81</v>
      </c>
    </row>
    <row r="327" spans="4:6" x14ac:dyDescent="0.25">
      <c r="D327" s="137">
        <f t="shared" si="4"/>
        <v>319</v>
      </c>
      <c r="E327" s="137">
        <f>_xlfn.BITAND(IF(ROUNDDOWN((E$8)+((D327*C$2)/C$3),0) &gt; 0, ROUNDDOWN((E$8)+((D327*C$2)/C$3),0), Customer_sheet_bidirectional!D$20 + ROUNDDOWN((E$8)+((D327*C$2)/C$3),0)),C$4)</f>
        <v>816</v>
      </c>
      <c r="F327" s="137">
        <f>(Customer_sheet_bidirectional!B$43-DAC_to_Logical_index!D327)</f>
        <v>80</v>
      </c>
    </row>
    <row r="328" spans="4:6" x14ac:dyDescent="0.25">
      <c r="D328" s="137">
        <f t="shared" si="4"/>
        <v>320</v>
      </c>
      <c r="E328" s="137">
        <f>_xlfn.BITAND(IF(ROUNDDOWN((E$8)+((D328*C$2)/C$3),0) &gt; 0, ROUNDDOWN((E$8)+((D328*C$2)/C$3),0), Customer_sheet_bidirectional!D$20 + ROUNDDOWN((E$8)+((D328*C$2)/C$3),0)),C$4)</f>
        <v>821</v>
      </c>
      <c r="F328" s="137">
        <f>(Customer_sheet_bidirectional!B$43-DAC_to_Logical_index!D328)</f>
        <v>79</v>
      </c>
    </row>
    <row r="329" spans="4:6" x14ac:dyDescent="0.25">
      <c r="D329" s="137">
        <f t="shared" si="4"/>
        <v>321</v>
      </c>
      <c r="E329" s="137">
        <f>_xlfn.BITAND(IF(ROUNDDOWN((E$8)+((D329*C$2)/C$3),0) &gt; 0, ROUNDDOWN((E$8)+((D329*C$2)/C$3),0), Customer_sheet_bidirectional!D$20 + ROUNDDOWN((E$8)+((D329*C$2)/C$3),0)),C$4)</f>
        <v>827</v>
      </c>
      <c r="F329" s="137">
        <f>(Customer_sheet_bidirectional!B$43-DAC_to_Logical_index!D329)</f>
        <v>78</v>
      </c>
    </row>
    <row r="330" spans="4:6" x14ac:dyDescent="0.25">
      <c r="D330" s="137">
        <f t="shared" si="4"/>
        <v>322</v>
      </c>
      <c r="E330" s="137">
        <f>_xlfn.BITAND(IF(ROUNDDOWN((E$8)+((D330*C$2)/C$3),0) &gt; 0, ROUNDDOWN((E$8)+((D330*C$2)/C$3),0), Customer_sheet_bidirectional!D$20 + ROUNDDOWN((E$8)+((D330*C$2)/C$3),0)),C$4)</f>
        <v>832</v>
      </c>
      <c r="F330" s="137">
        <f>(Customer_sheet_bidirectional!B$43-DAC_to_Logical_index!D330)</f>
        <v>77</v>
      </c>
    </row>
    <row r="331" spans="4:6" x14ac:dyDescent="0.25">
      <c r="D331" s="137">
        <f t="shared" si="4"/>
        <v>323</v>
      </c>
      <c r="E331" s="137">
        <f>_xlfn.BITAND(IF(ROUNDDOWN((E$8)+((D331*C$2)/C$3),0) &gt; 0, ROUNDDOWN((E$8)+((D331*C$2)/C$3),0), Customer_sheet_bidirectional!D$20 + ROUNDDOWN((E$8)+((D331*C$2)/C$3),0)),C$4)</f>
        <v>837</v>
      </c>
      <c r="F331" s="137">
        <f>(Customer_sheet_bidirectional!B$43-DAC_to_Logical_index!D331)</f>
        <v>76</v>
      </c>
    </row>
    <row r="332" spans="4:6" x14ac:dyDescent="0.25">
      <c r="D332" s="137">
        <f>D331+1</f>
        <v>324</v>
      </c>
      <c r="E332" s="137">
        <f>_xlfn.BITAND(IF(ROUNDDOWN((E$8)+((D332*C$2)/C$3),0) &gt; 0, ROUNDDOWN((E$8)+((D332*C$2)/C$3),0), Customer_sheet_bidirectional!D$20 + ROUNDDOWN((E$8)+((D332*C$2)/C$3),0)),C$4)</f>
        <v>842</v>
      </c>
      <c r="F332" s="137">
        <f>(Customer_sheet_bidirectional!B$43-DAC_to_Logical_index!D332)</f>
        <v>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5"/>
  <sheetViews>
    <sheetView zoomScaleNormal="100" workbookViewId="0"/>
  </sheetViews>
  <sheetFormatPr defaultRowHeight="15" x14ac:dyDescent="0.25"/>
  <cols>
    <col min="1" max="1" width="9.140625" style="115"/>
    <col min="2" max="2" width="18.7109375" style="115" customWidth="1"/>
    <col min="3" max="3" width="17.7109375" style="115" customWidth="1"/>
    <col min="4" max="4" width="10.85546875" style="115" customWidth="1"/>
    <col min="5" max="5" width="14.7109375" style="115" customWidth="1"/>
    <col min="6" max="6" width="17.7109375" style="115" customWidth="1"/>
    <col min="7" max="7" width="15.28515625" style="115" customWidth="1"/>
    <col min="8" max="8" width="12.7109375" style="115" customWidth="1"/>
    <col min="9" max="9" width="36.7109375" style="115" customWidth="1"/>
    <col min="10" max="10" width="13.5703125" style="115" customWidth="1"/>
    <col min="11" max="11" width="28.140625" style="115" customWidth="1"/>
    <col min="12" max="12" width="17" style="115" customWidth="1"/>
    <col min="13" max="16384" width="9.140625" style="115"/>
  </cols>
  <sheetData>
    <row r="1" spans="1:12" ht="15.75" thickBot="1" x14ac:dyDescent="0.3"/>
    <row r="2" spans="1:12" ht="15.75" thickBot="1" x14ac:dyDescent="0.3">
      <c r="B2" s="308" t="s">
        <v>60</v>
      </c>
      <c r="C2" s="311"/>
      <c r="D2" s="312"/>
      <c r="E2" s="302" t="s">
        <v>61</v>
      </c>
      <c r="F2" s="303"/>
      <c r="G2" s="302"/>
      <c r="H2" s="303"/>
      <c r="I2" s="145"/>
      <c r="J2" s="145"/>
      <c r="K2" s="302"/>
      <c r="L2" s="303"/>
    </row>
    <row r="3" spans="1:12" ht="15.75" thickBot="1" x14ac:dyDescent="0.3">
      <c r="B3" s="309"/>
      <c r="C3" s="112" t="s">
        <v>62</v>
      </c>
      <c r="D3" s="49">
        <f>Customer_sheet_bidirectional!B10</f>
        <v>4.67</v>
      </c>
      <c r="E3" s="50" t="s">
        <v>63</v>
      </c>
      <c r="F3" s="51">
        <f>Customer_sheet_bidirectional!B20</f>
        <v>12</v>
      </c>
      <c r="G3" s="52" t="s">
        <v>65</v>
      </c>
      <c r="H3" s="49">
        <f>Customer_sheet_bidirectional!B31</f>
        <v>3233</v>
      </c>
      <c r="I3" s="149" t="s">
        <v>198</v>
      </c>
      <c r="J3" s="146">
        <f>VLOOKUP(J5,DAC_to_Logical_index!E8:'DAC_to_Logical_index'!F22354,2, FALSE)</f>
        <v>378</v>
      </c>
      <c r="K3" s="53" t="s">
        <v>66</v>
      </c>
      <c r="L3" s="54">
        <f>0.1*D$3*D$6/(D$6-D$3*0.1)*10000-D$3*1000</f>
        <v>6.2081794968871691</v>
      </c>
    </row>
    <row r="4" spans="1:12" ht="15.75" thickBot="1" x14ac:dyDescent="0.3">
      <c r="B4" s="309"/>
      <c r="C4" s="112" t="s">
        <v>9</v>
      </c>
      <c r="D4" s="49">
        <f>Customer_sheet_bidirectional!B12</f>
        <v>2</v>
      </c>
      <c r="E4" s="50" t="s">
        <v>200</v>
      </c>
      <c r="F4" s="51">
        <f>Customer_sheet_bidirectional!B45</f>
        <v>10</v>
      </c>
      <c r="G4" s="52" t="s">
        <v>194</v>
      </c>
      <c r="H4" s="49">
        <f>Customer_sheet_bidirectional!B37-1</f>
        <v>399</v>
      </c>
      <c r="I4" s="149" t="s">
        <v>199</v>
      </c>
      <c r="J4" s="146">
        <f>VLOOKUP(J6,DAC_to_Logical_index!E8:'DAC_to_Logical_index'!F22354,2, FALSE)</f>
        <v>75</v>
      </c>
      <c r="K4" s="53" t="s">
        <v>70</v>
      </c>
      <c r="L4" s="55">
        <f>_xlfn.FLOOR.PRECISE(L3/F5/2,1)</f>
        <v>4</v>
      </c>
    </row>
    <row r="5" spans="1:12" ht="15.75" thickBot="1" x14ac:dyDescent="0.3">
      <c r="B5" s="309"/>
      <c r="C5" s="112" t="s">
        <v>71</v>
      </c>
      <c r="D5" s="49">
        <f>Customer_sheet_bidirectional!B11</f>
        <v>1.55</v>
      </c>
      <c r="E5" s="50" t="s">
        <v>104</v>
      </c>
      <c r="F5" s="56">
        <f>Customer_sheet_bidirectional!B50</f>
        <v>0.62663914786967412</v>
      </c>
      <c r="G5" s="53" t="s">
        <v>183</v>
      </c>
      <c r="H5" s="57">
        <f>Customer_sheet_bidirectional!B22</f>
        <v>3341</v>
      </c>
      <c r="I5" s="151" t="s">
        <v>196</v>
      </c>
      <c r="J5" s="147">
        <f t="array" ref="J5">INDEX(DAC_to_Logical_index!E8:'DAC_to_Logical_index'!E111354,MATCH(MIN(ABS(DAC_to_Logical_index!E8:'DAC_to_Logical_index'!E111354-H5)),ABS(DAC_to_Logical_index!E8:'DAC_to_Logical_index'!E111354-H5),0))</f>
        <v>3343</v>
      </c>
      <c r="K5" s="53" t="s">
        <v>73</v>
      </c>
      <c r="L5" s="58">
        <f>3*L4</f>
        <v>12</v>
      </c>
    </row>
    <row r="6" spans="1:12" ht="15.75" thickBot="1" x14ac:dyDescent="0.3">
      <c r="B6" s="310"/>
      <c r="C6" s="59" t="s">
        <v>74</v>
      </c>
      <c r="D6" s="60">
        <f>ROUND(D3^2/(D4*((2*D5))),4)*100</f>
        <v>351.76</v>
      </c>
      <c r="E6" s="59" t="s">
        <v>44</v>
      </c>
      <c r="F6" s="57">
        <f>ROUND(1/F5,0)</f>
        <v>2</v>
      </c>
      <c r="G6" s="53" t="s">
        <v>184</v>
      </c>
      <c r="H6" s="54">
        <f>Customer_sheet_bidirectional!B23</f>
        <v>1030</v>
      </c>
      <c r="I6" s="150" t="s">
        <v>197</v>
      </c>
      <c r="J6" s="148">
        <f t="array" ref="J6">INDEX(DAC_to_Logical_index!E8:'DAC_to_Logical_index'!E111354,MATCH(MIN(ABS(DAC_to_Logical_index!E8:'DAC_to_Logical_index'!E111354-H6)),ABS(DAC_to_Logical_index!E8:'DAC_to_Logical_index'!E111354-H6),0))</f>
        <v>842</v>
      </c>
      <c r="K6" s="53" t="s">
        <v>76</v>
      </c>
      <c r="L6" s="58">
        <f>ROUND(L5*1.5,0)</f>
        <v>18</v>
      </c>
    </row>
    <row r="7" spans="1:12" x14ac:dyDescent="0.25">
      <c r="B7" s="47"/>
      <c r="C7" s="47"/>
      <c r="D7" s="47"/>
      <c r="E7" s="47"/>
      <c r="F7" s="47"/>
      <c r="G7" s="47"/>
      <c r="H7" s="47"/>
      <c r="I7" s="47"/>
      <c r="J7" s="47"/>
    </row>
    <row r="8" spans="1:12" x14ac:dyDescent="0.25">
      <c r="B8" s="47"/>
      <c r="C8" s="47"/>
      <c r="D8" s="47"/>
      <c r="E8" s="47"/>
      <c r="F8" s="47"/>
      <c r="G8" s="47"/>
      <c r="H8" s="47"/>
      <c r="I8" s="47"/>
      <c r="J8" s="47"/>
    </row>
    <row r="9" spans="1:12" x14ac:dyDescent="0.25">
      <c r="B9" s="47"/>
      <c r="C9" s="47"/>
      <c r="D9" s="47"/>
      <c r="E9" s="47"/>
      <c r="F9" s="47"/>
      <c r="G9" s="47"/>
      <c r="H9" s="47"/>
      <c r="I9" s="47"/>
      <c r="J9" s="47"/>
    </row>
    <row r="10" spans="1:12" x14ac:dyDescent="0.25">
      <c r="B10" s="47"/>
      <c r="C10" s="47"/>
      <c r="D10" s="47"/>
      <c r="E10" s="47"/>
      <c r="F10" s="47"/>
      <c r="G10" s="61"/>
      <c r="H10" s="47"/>
      <c r="I10" s="47"/>
      <c r="J10" s="47"/>
    </row>
    <row r="11" spans="1:12" x14ac:dyDescent="0.25">
      <c r="B11" s="47"/>
      <c r="C11" s="47"/>
      <c r="D11" s="47"/>
      <c r="E11" s="47"/>
      <c r="F11" s="47"/>
      <c r="G11" s="47"/>
      <c r="H11" s="47"/>
      <c r="I11" s="47"/>
      <c r="J11" s="47"/>
    </row>
    <row r="12" spans="1:12" ht="15.75" thickBot="1" x14ac:dyDescent="0.3">
      <c r="A12" s="47"/>
      <c r="B12" s="47"/>
      <c r="C12" s="62" t="s">
        <v>77</v>
      </c>
      <c r="D12" s="62"/>
      <c r="E12" s="62"/>
      <c r="F12" s="47"/>
      <c r="G12" s="47"/>
      <c r="H12" s="47"/>
      <c r="I12" s="47"/>
      <c r="J12" s="47"/>
      <c r="K12" s="47"/>
      <c r="L12" s="47"/>
    </row>
    <row r="13" spans="1:12" x14ac:dyDescent="0.25">
      <c r="A13" s="47"/>
      <c r="B13" s="63" t="s">
        <v>78</v>
      </c>
      <c r="C13" s="64" t="s">
        <v>79</v>
      </c>
      <c r="D13" s="304" t="s">
        <v>80</v>
      </c>
      <c r="E13" s="305"/>
      <c r="F13" s="306" t="s">
        <v>82</v>
      </c>
      <c r="G13" s="47"/>
      <c r="H13" s="47"/>
      <c r="I13" s="47"/>
      <c r="J13" s="47"/>
      <c r="K13" s="47"/>
    </row>
    <row r="14" spans="1:12" ht="26.25" thickBot="1" x14ac:dyDescent="0.4">
      <c r="A14" s="47"/>
      <c r="B14" s="65" t="s">
        <v>83</v>
      </c>
      <c r="C14" s="66" t="s">
        <v>84</v>
      </c>
      <c r="D14" s="67" t="s">
        <v>85</v>
      </c>
      <c r="E14" s="68" t="s">
        <v>86</v>
      </c>
      <c r="F14" s="307"/>
      <c r="G14" s="47"/>
      <c r="H14" s="69" t="s">
        <v>87</v>
      </c>
      <c r="I14" s="47"/>
      <c r="J14" s="70">
        <f>H4</f>
        <v>399</v>
      </c>
      <c r="K14" s="47"/>
    </row>
    <row r="15" spans="1:12" ht="25.5" x14ac:dyDescent="0.35">
      <c r="A15" s="47"/>
      <c r="B15" s="71">
        <v>7</v>
      </c>
      <c r="C15" s="72">
        <f t="shared" ref="C15:C46" si="0">$D$3^2/(B15*10-$D$3)*1000</f>
        <v>333.82672585335979</v>
      </c>
      <c r="D15" s="73">
        <f t="shared" ref="D15:D46" si="1">ROUND(MID($D$6,1,6)*B15/(MID($D$6,1,6)+(B15-$D$3*0.1)),2)</f>
        <v>6.87</v>
      </c>
      <c r="E15" s="74">
        <f t="shared" ref="E15:E46" si="2">ROUND(MID($D$6,1,6)*B15/(MID($D$6,1,6)-(B15-$D$3*0.1)),2)</f>
        <v>7.13</v>
      </c>
      <c r="F15" s="130">
        <f>F$18- (((D$3*D$3)/((B15*10)-D$3))*1000 - ((D$3*D$3)/((B$18*10)-D$3))*1000)/F$5</f>
        <v>-144.81851121214876</v>
      </c>
      <c r="G15" s="47"/>
      <c r="H15" s="69" t="s">
        <v>88</v>
      </c>
      <c r="I15" s="47"/>
      <c r="J15" s="70">
        <f>ROUND(F34,0)</f>
        <v>359</v>
      </c>
      <c r="K15" s="47"/>
    </row>
    <row r="16" spans="1:12" ht="25.5" x14ac:dyDescent="0.35">
      <c r="A16" s="47"/>
      <c r="B16" s="77">
        <v>8</v>
      </c>
      <c r="C16" s="78">
        <f t="shared" si="0"/>
        <v>289.51148280897382</v>
      </c>
      <c r="D16" s="79">
        <f t="shared" si="1"/>
        <v>7.83</v>
      </c>
      <c r="E16" s="80">
        <f t="shared" si="2"/>
        <v>8.18</v>
      </c>
      <c r="F16" s="130">
        <f>F$18- (((D$3*D$3)/((B16*10)-D$3))*1000 - ((D$3*D$3)/((B$18*10)-D$3))*1000)/F$5</f>
        <v>-74.099592365408483</v>
      </c>
      <c r="G16" s="47"/>
      <c r="H16" s="69" t="s">
        <v>89</v>
      </c>
      <c r="I16" s="47"/>
      <c r="J16" s="70">
        <f>ROUND(F28,0)</f>
        <v>329</v>
      </c>
      <c r="K16" s="47"/>
    </row>
    <row r="17" spans="1:11" ht="25.5" x14ac:dyDescent="0.35">
      <c r="A17" s="47"/>
      <c r="B17" s="81">
        <v>9</v>
      </c>
      <c r="C17" s="82">
        <f t="shared" si="0"/>
        <v>255.58303058713227</v>
      </c>
      <c r="D17" s="83">
        <f t="shared" si="1"/>
        <v>8.7899999999999991</v>
      </c>
      <c r="E17" s="84">
        <f t="shared" si="2"/>
        <v>9.2200000000000006</v>
      </c>
      <c r="F17" s="130">
        <f>F$18- (((D$3*D$3)/((B17*10)-D$3))*1000 - ((D$3*D$3)/((B$18*10)-D$3))*1000)/F$5</f>
        <v>-19.956067599704163</v>
      </c>
      <c r="G17" s="47"/>
      <c r="H17" s="69" t="s">
        <v>90</v>
      </c>
      <c r="I17" s="47"/>
      <c r="J17" s="70">
        <f>ROUND(F27,0)</f>
        <v>318</v>
      </c>
      <c r="K17" s="47"/>
    </row>
    <row r="18" spans="1:11" ht="25.5" x14ac:dyDescent="0.35">
      <c r="A18" s="47"/>
      <c r="B18" s="85">
        <v>10</v>
      </c>
      <c r="C18" s="86">
        <f t="shared" si="0"/>
        <v>228.77268435959297</v>
      </c>
      <c r="D18" s="87">
        <f t="shared" si="1"/>
        <v>9.74</v>
      </c>
      <c r="E18" s="88">
        <f t="shared" si="2"/>
        <v>10.28</v>
      </c>
      <c r="F18" s="90">
        <f>J3 - ((((D3*D3)/(B18*10-D3)*1000) - ((D3*D3)/(D6*10-D3)*1000)) / F5)</f>
        <v>22.828278572544889</v>
      </c>
      <c r="G18" s="47"/>
      <c r="H18" s="69" t="s">
        <v>91</v>
      </c>
      <c r="I18" s="47"/>
      <c r="J18" s="70">
        <f>ROUND(F26,0)</f>
        <v>300</v>
      </c>
      <c r="K18" s="47"/>
    </row>
    <row r="19" spans="1:11" ht="25.5" x14ac:dyDescent="0.35">
      <c r="A19" s="47"/>
      <c r="B19" s="81">
        <v>11</v>
      </c>
      <c r="C19" s="91">
        <f t="shared" si="0"/>
        <v>207.05307129972468</v>
      </c>
      <c r="D19" s="83">
        <f t="shared" si="1"/>
        <v>10.68</v>
      </c>
      <c r="E19" s="84">
        <f t="shared" si="2"/>
        <v>11.34</v>
      </c>
      <c r="F19" s="76">
        <f t="shared" ref="F19:F50" si="3">F$18- (((D$3*D$3)/((B19*10)-D$3))*1000 - ((D$3*D$3)/((B$18*10)-D$3))*1000)/F$5</f>
        <v>57.48875762768597</v>
      </c>
      <c r="G19" s="47"/>
      <c r="H19" s="69" t="s">
        <v>92</v>
      </c>
      <c r="I19" s="47"/>
      <c r="J19" s="70">
        <f>ROUND(F25,0)</f>
        <v>270</v>
      </c>
      <c r="K19" s="47"/>
    </row>
    <row r="20" spans="1:11" ht="25.5" x14ac:dyDescent="0.35">
      <c r="A20" s="47"/>
      <c r="B20" s="81">
        <v>12</v>
      </c>
      <c r="C20" s="91">
        <f t="shared" si="0"/>
        <v>189.09997398768749</v>
      </c>
      <c r="D20" s="83">
        <f t="shared" si="1"/>
        <v>11.62</v>
      </c>
      <c r="E20" s="84">
        <f t="shared" si="2"/>
        <v>12.41</v>
      </c>
      <c r="F20" s="76">
        <f t="shared" si="3"/>
        <v>86.138575266865757</v>
      </c>
      <c r="G20" s="47"/>
      <c r="H20" s="69" t="s">
        <v>93</v>
      </c>
      <c r="I20" s="47"/>
      <c r="J20" s="70">
        <f>ROUND(F24,0)</f>
        <v>210</v>
      </c>
      <c r="K20" s="47"/>
    </row>
    <row r="21" spans="1:11" ht="25.5" x14ac:dyDescent="0.35">
      <c r="A21" s="47"/>
      <c r="B21" s="81">
        <v>13</v>
      </c>
      <c r="C21" s="91">
        <f t="shared" si="0"/>
        <v>174.01180882470277</v>
      </c>
      <c r="D21" s="83">
        <f t="shared" si="1"/>
        <v>12.55</v>
      </c>
      <c r="E21" s="84">
        <f t="shared" si="2"/>
        <v>13.48</v>
      </c>
      <c r="F21" s="76">
        <f t="shared" si="3"/>
        <v>110.21649190242633</v>
      </c>
      <c r="G21" s="47"/>
      <c r="H21" s="69" t="s">
        <v>94</v>
      </c>
      <c r="I21" s="47"/>
      <c r="J21" s="70">
        <f>ROUND(F22,0)</f>
        <v>131</v>
      </c>
      <c r="K21" s="47"/>
    </row>
    <row r="22" spans="1:11" ht="25.5" x14ac:dyDescent="0.35">
      <c r="A22" s="47"/>
      <c r="B22" s="81">
        <v>14</v>
      </c>
      <c r="C22" s="91">
        <f t="shared" si="0"/>
        <v>161.15347668661786</v>
      </c>
      <c r="D22" s="83">
        <f t="shared" si="1"/>
        <v>13.48</v>
      </c>
      <c r="E22" s="84">
        <f t="shared" si="2"/>
        <v>14.56</v>
      </c>
      <c r="F22" s="76">
        <f t="shared" si="3"/>
        <v>130.73600808937084</v>
      </c>
      <c r="G22" s="47"/>
      <c r="H22" s="69" t="s">
        <v>95</v>
      </c>
      <c r="I22" s="47"/>
      <c r="J22" s="70">
        <f>ROUND(F18,0)</f>
        <v>23</v>
      </c>
      <c r="K22" s="47"/>
    </row>
    <row r="23" spans="1:11" ht="25.5" x14ac:dyDescent="0.35">
      <c r="A23" s="47"/>
      <c r="B23" s="81">
        <v>15</v>
      </c>
      <c r="C23" s="91">
        <f t="shared" si="0"/>
        <v>150.06468038257756</v>
      </c>
      <c r="D23" s="83">
        <f t="shared" si="1"/>
        <v>14.4</v>
      </c>
      <c r="E23" s="84">
        <f t="shared" si="2"/>
        <v>15.65</v>
      </c>
      <c r="F23" s="76">
        <f t="shared" si="3"/>
        <v>148.43167287785053</v>
      </c>
      <c r="G23" s="47"/>
      <c r="H23" s="69" t="s">
        <v>96</v>
      </c>
      <c r="I23" s="47"/>
      <c r="J23" s="70">
        <f>IF(F15&lt;0, 0, F15)</f>
        <v>0</v>
      </c>
      <c r="K23" s="47"/>
    </row>
    <row r="24" spans="1:11" ht="25.5" x14ac:dyDescent="0.35">
      <c r="A24" s="47"/>
      <c r="B24" s="81">
        <v>20</v>
      </c>
      <c r="C24" s="92">
        <f t="shared" si="0"/>
        <v>111.6515640198638</v>
      </c>
      <c r="D24" s="83">
        <f t="shared" si="1"/>
        <v>18.95</v>
      </c>
      <c r="E24" s="84">
        <f t="shared" si="2"/>
        <v>21.18</v>
      </c>
      <c r="F24" s="76">
        <f t="shared" si="3"/>
        <v>209.73189086343794</v>
      </c>
      <c r="G24" s="47"/>
      <c r="H24" s="69" t="s">
        <v>97</v>
      </c>
      <c r="I24" s="47"/>
      <c r="J24" s="70">
        <f>IF(F15&lt;0, 0, F15)</f>
        <v>0</v>
      </c>
      <c r="K24" s="47"/>
    </row>
    <row r="25" spans="1:11" x14ac:dyDescent="0.25">
      <c r="A25" s="47"/>
      <c r="B25" s="81">
        <v>30</v>
      </c>
      <c r="C25" s="93">
        <f t="shared" si="0"/>
        <v>73.845867334845764</v>
      </c>
      <c r="D25" s="83">
        <f t="shared" si="1"/>
        <v>27.68</v>
      </c>
      <c r="E25" s="84">
        <f t="shared" si="2"/>
        <v>32.75</v>
      </c>
      <c r="F25" s="76">
        <f t="shared" si="3"/>
        <v>270.06277956316649</v>
      </c>
      <c r="G25" s="47"/>
      <c r="H25" s="47"/>
      <c r="I25" s="47"/>
      <c r="J25" s="61"/>
      <c r="K25" s="47"/>
    </row>
    <row r="26" spans="1:11" ht="25.5" x14ac:dyDescent="0.35">
      <c r="A26" s="47"/>
      <c r="B26" s="94">
        <v>40</v>
      </c>
      <c r="C26" s="91">
        <f t="shared" si="0"/>
        <v>55.166316748033289</v>
      </c>
      <c r="D26" s="95">
        <f t="shared" si="1"/>
        <v>35.96</v>
      </c>
      <c r="E26" s="96">
        <f t="shared" si="2"/>
        <v>45.06</v>
      </c>
      <c r="F26" s="76">
        <f t="shared" si="3"/>
        <v>299.87188205910144</v>
      </c>
      <c r="G26" s="47"/>
      <c r="H26" s="69"/>
      <c r="I26" s="47"/>
      <c r="J26" s="61"/>
      <c r="K26" s="47"/>
    </row>
    <row r="27" spans="1:11" ht="25.5" x14ac:dyDescent="0.35">
      <c r="A27" s="47"/>
      <c r="B27" s="81">
        <v>50</v>
      </c>
      <c r="C27" s="93">
        <f t="shared" si="0"/>
        <v>44.029031150949869</v>
      </c>
      <c r="D27" s="83">
        <f t="shared" si="1"/>
        <v>43.83</v>
      </c>
      <c r="E27" s="84">
        <f t="shared" si="2"/>
        <v>58.19</v>
      </c>
      <c r="F27" s="76">
        <f t="shared" si="3"/>
        <v>317.64492677701577</v>
      </c>
      <c r="G27" s="47"/>
      <c r="H27" s="69" t="s">
        <v>45</v>
      </c>
      <c r="I27" s="47"/>
      <c r="J27" s="70">
        <v>0</v>
      </c>
      <c r="K27" s="47"/>
    </row>
    <row r="28" spans="1:11" ht="25.5" x14ac:dyDescent="0.35">
      <c r="A28" s="47"/>
      <c r="B28" s="94">
        <f t="shared" ref="B28:B72" si="4">B27+10</f>
        <v>60</v>
      </c>
      <c r="C28" s="97">
        <f t="shared" si="0"/>
        <v>36.633295819125522</v>
      </c>
      <c r="D28" s="95">
        <f t="shared" si="1"/>
        <v>51.32</v>
      </c>
      <c r="E28" s="96">
        <f t="shared" si="2"/>
        <v>72.22</v>
      </c>
      <c r="F28" s="76">
        <f t="shared" si="3"/>
        <v>329.44715036449338</v>
      </c>
      <c r="G28" s="47"/>
      <c r="H28" s="69" t="s">
        <v>46</v>
      </c>
      <c r="I28" s="47"/>
      <c r="J28" s="70">
        <f>ROUND(F18, 0)</f>
        <v>23</v>
      </c>
      <c r="K28" s="47"/>
    </row>
    <row r="29" spans="1:11" ht="25.5" x14ac:dyDescent="0.35">
      <c r="A29" s="47"/>
      <c r="B29" s="81">
        <f t="shared" si="4"/>
        <v>70</v>
      </c>
      <c r="C29" s="82">
        <f t="shared" si="0"/>
        <v>31.364819582068943</v>
      </c>
      <c r="D29" s="83">
        <f t="shared" si="1"/>
        <v>58.45</v>
      </c>
      <c r="E29" s="84">
        <f t="shared" si="2"/>
        <v>87.25</v>
      </c>
      <c r="F29" s="76">
        <f t="shared" si="3"/>
        <v>337.85466249482755</v>
      </c>
      <c r="G29" s="47"/>
      <c r="H29" s="69" t="s">
        <v>47</v>
      </c>
      <c r="I29" s="47"/>
      <c r="J29" s="70">
        <f>ROUND(F27,0)</f>
        <v>318</v>
      </c>
      <c r="K29" s="47"/>
    </row>
    <row r="30" spans="1:11" ht="25.5" x14ac:dyDescent="0.35">
      <c r="A30" s="47"/>
      <c r="B30" s="98">
        <f t="shared" si="4"/>
        <v>80</v>
      </c>
      <c r="C30" s="99">
        <f t="shared" si="0"/>
        <v>27.421196233010193</v>
      </c>
      <c r="D30" s="100">
        <f t="shared" si="1"/>
        <v>65.25</v>
      </c>
      <c r="E30" s="101">
        <f t="shared" si="2"/>
        <v>103.37</v>
      </c>
      <c r="F30" s="76">
        <f t="shared" si="3"/>
        <v>344.14795483455055</v>
      </c>
      <c r="G30" s="47"/>
      <c r="H30" s="69" t="s">
        <v>48</v>
      </c>
      <c r="I30" s="47"/>
      <c r="J30" s="70">
        <f>ROUND(F34,0)</f>
        <v>359</v>
      </c>
      <c r="K30" s="47"/>
    </row>
    <row r="31" spans="1:11" ht="25.5" x14ac:dyDescent="0.35">
      <c r="A31" s="47"/>
      <c r="B31" s="81">
        <f t="shared" si="4"/>
        <v>90</v>
      </c>
      <c r="C31" s="82">
        <f t="shared" si="0"/>
        <v>24.358504685423249</v>
      </c>
      <c r="D31" s="83">
        <f t="shared" si="1"/>
        <v>71.739999999999995</v>
      </c>
      <c r="E31" s="84">
        <f t="shared" si="2"/>
        <v>120.73</v>
      </c>
      <c r="F31" s="76">
        <f t="shared" si="3"/>
        <v>349.03544320484929</v>
      </c>
      <c r="G31" s="47"/>
      <c r="H31" s="69" t="s">
        <v>49</v>
      </c>
      <c r="I31" s="47"/>
      <c r="J31" s="70">
        <f>H4</f>
        <v>399</v>
      </c>
      <c r="K31" s="47"/>
    </row>
    <row r="32" spans="1:11" ht="25.5" x14ac:dyDescent="0.35">
      <c r="A32" s="47"/>
      <c r="B32" s="94">
        <f t="shared" si="4"/>
        <v>100</v>
      </c>
      <c r="C32" s="102">
        <f t="shared" si="0"/>
        <v>21.911225422724119</v>
      </c>
      <c r="D32" s="95">
        <f t="shared" si="1"/>
        <v>77.94</v>
      </c>
      <c r="E32" s="96">
        <f t="shared" si="2"/>
        <v>139.46</v>
      </c>
      <c r="F32" s="76">
        <f t="shared" si="3"/>
        <v>352.94084756877851</v>
      </c>
      <c r="G32" s="47"/>
      <c r="H32" s="69" t="s">
        <v>41</v>
      </c>
      <c r="I32" s="47"/>
      <c r="J32" s="70">
        <f>ROUND(IF(F72&gt;J31,J31,F72),0)</f>
        <v>381</v>
      </c>
      <c r="K32" s="47"/>
    </row>
    <row r="33" spans="1:11" ht="25.5" x14ac:dyDescent="0.35">
      <c r="A33" s="47"/>
      <c r="B33" s="81">
        <f t="shared" si="4"/>
        <v>110</v>
      </c>
      <c r="C33" s="82">
        <f t="shared" si="0"/>
        <v>19.910803136954158</v>
      </c>
      <c r="D33" s="83">
        <f t="shared" si="1"/>
        <v>83.88</v>
      </c>
      <c r="E33" s="84">
        <f t="shared" si="2"/>
        <v>159.74</v>
      </c>
      <c r="F33" s="76">
        <f t="shared" si="3"/>
        <v>356.13315097428813</v>
      </c>
      <c r="G33" s="47"/>
      <c r="H33" s="69" t="s">
        <v>50</v>
      </c>
      <c r="I33" s="47"/>
      <c r="J33" s="70">
        <f>ROUND(F24,0)</f>
        <v>210</v>
      </c>
      <c r="K33" s="47"/>
    </row>
    <row r="34" spans="1:11" x14ac:dyDescent="0.25">
      <c r="A34" s="47"/>
      <c r="B34" s="94">
        <f t="shared" si="4"/>
        <v>120</v>
      </c>
      <c r="C34" s="102">
        <f t="shared" si="0"/>
        <v>18.245087130750505</v>
      </c>
      <c r="D34" s="95">
        <f t="shared" si="1"/>
        <v>89.56</v>
      </c>
      <c r="E34" s="96">
        <f t="shared" si="2"/>
        <v>181.77</v>
      </c>
      <c r="F34" s="76">
        <f t="shared" si="3"/>
        <v>358.79132515932969</v>
      </c>
      <c r="G34" s="47"/>
      <c r="H34" s="47"/>
      <c r="I34" s="47"/>
      <c r="J34" s="47"/>
      <c r="K34" s="47"/>
    </row>
    <row r="35" spans="1:11" x14ac:dyDescent="0.25">
      <c r="A35" s="47"/>
      <c r="B35" s="81">
        <f t="shared" si="4"/>
        <v>130</v>
      </c>
      <c r="C35" s="82">
        <f t="shared" si="0"/>
        <v>16.836559023569283</v>
      </c>
      <c r="D35" s="83">
        <f t="shared" si="1"/>
        <v>95.01</v>
      </c>
      <c r="E35" s="84">
        <f t="shared" si="2"/>
        <v>205.78</v>
      </c>
      <c r="F35" s="76">
        <f t="shared" si="3"/>
        <v>361.03907509957787</v>
      </c>
      <c r="G35" s="47"/>
      <c r="H35" s="47"/>
      <c r="I35" s="47"/>
      <c r="J35" s="47"/>
      <c r="K35" s="47"/>
    </row>
    <row r="36" spans="1:11" x14ac:dyDescent="0.25">
      <c r="A36" s="47"/>
      <c r="B36" s="81">
        <f t="shared" si="4"/>
        <v>140</v>
      </c>
      <c r="C36" s="82">
        <f t="shared" si="0"/>
        <v>15.629922670622719</v>
      </c>
      <c r="D36" s="83">
        <f t="shared" si="1"/>
        <v>100.24</v>
      </c>
      <c r="E36" s="84">
        <f t="shared" si="2"/>
        <v>232.05</v>
      </c>
      <c r="F36" s="76">
        <f t="shared" si="3"/>
        <v>362.96464319893562</v>
      </c>
      <c r="G36" s="47"/>
      <c r="H36" s="47"/>
      <c r="I36" s="47"/>
      <c r="J36" s="47"/>
      <c r="K36" s="47"/>
    </row>
    <row r="37" spans="1:11" x14ac:dyDescent="0.25">
      <c r="A37" s="47"/>
      <c r="B37" s="81">
        <f t="shared" si="4"/>
        <v>150</v>
      </c>
      <c r="C37" s="82">
        <f t="shared" si="0"/>
        <v>14.584673617194866</v>
      </c>
      <c r="D37" s="83">
        <f t="shared" si="1"/>
        <v>105.26</v>
      </c>
      <c r="E37" s="84">
        <f t="shared" si="2"/>
        <v>260.91000000000003</v>
      </c>
      <c r="F37" s="76">
        <f t="shared" si="3"/>
        <v>364.63266706399617</v>
      </c>
      <c r="G37" s="47"/>
      <c r="H37" s="47"/>
      <c r="I37" s="47"/>
      <c r="J37" s="47"/>
      <c r="K37" s="47"/>
    </row>
    <row r="38" spans="1:11" x14ac:dyDescent="0.25">
      <c r="A38" s="47"/>
      <c r="B38" s="81">
        <f t="shared" si="4"/>
        <v>160</v>
      </c>
      <c r="C38" s="82">
        <f t="shared" si="0"/>
        <v>13.670463164360976</v>
      </c>
      <c r="D38" s="83">
        <f t="shared" si="1"/>
        <v>110.08</v>
      </c>
      <c r="E38" s="84">
        <f t="shared" si="2"/>
        <v>292.79000000000002</v>
      </c>
      <c r="F38" s="76">
        <f t="shared" si="3"/>
        <v>366.09157759638452</v>
      </c>
      <c r="G38" s="47"/>
      <c r="H38" s="47"/>
      <c r="I38" s="47"/>
      <c r="J38" s="47"/>
      <c r="K38" s="47"/>
    </row>
    <row r="39" spans="1:11" x14ac:dyDescent="0.25">
      <c r="A39" s="47"/>
      <c r="B39" s="81">
        <f t="shared" si="4"/>
        <v>170</v>
      </c>
      <c r="C39" s="82">
        <f t="shared" si="0"/>
        <v>12.864103153958226</v>
      </c>
      <c r="D39" s="83">
        <f t="shared" si="1"/>
        <v>114.71</v>
      </c>
      <c r="E39" s="84">
        <f t="shared" si="2"/>
        <v>328.16</v>
      </c>
      <c r="F39" s="76">
        <f t="shared" si="3"/>
        <v>367.37837880110345</v>
      </c>
      <c r="G39" s="47"/>
      <c r="H39" s="47"/>
      <c r="I39" s="47"/>
      <c r="J39" s="47"/>
      <c r="K39" s="47"/>
    </row>
    <row r="40" spans="1:11" x14ac:dyDescent="0.25">
      <c r="A40" s="47"/>
      <c r="B40" s="81">
        <f t="shared" si="4"/>
        <v>180</v>
      </c>
      <c r="C40" s="82">
        <f t="shared" si="0"/>
        <v>12.147571755610388</v>
      </c>
      <c r="D40" s="83">
        <f t="shared" si="1"/>
        <v>119.17</v>
      </c>
      <c r="E40" s="84">
        <f t="shared" si="2"/>
        <v>367.64</v>
      </c>
      <c r="F40" s="76">
        <f t="shared" si="3"/>
        <v>368.5218301810304</v>
      </c>
      <c r="G40" s="47"/>
      <c r="H40" s="47"/>
      <c r="I40" s="47"/>
      <c r="J40" s="47"/>
      <c r="K40" s="47"/>
    </row>
    <row r="41" spans="1:11" x14ac:dyDescent="0.25">
      <c r="A41" s="47"/>
      <c r="B41" s="81">
        <f t="shared" si="4"/>
        <v>190</v>
      </c>
      <c r="C41" s="82">
        <f t="shared" si="0"/>
        <v>11.506650556895105</v>
      </c>
      <c r="D41" s="83">
        <f t="shared" si="1"/>
        <v>123.47</v>
      </c>
      <c r="E41" s="84">
        <f t="shared" si="2"/>
        <v>411.98</v>
      </c>
      <c r="F41" s="76">
        <f t="shared" si="3"/>
        <v>369.54462168854184</v>
      </c>
      <c r="G41" s="47"/>
      <c r="H41" s="47"/>
      <c r="I41" s="47"/>
      <c r="J41" s="47"/>
      <c r="K41" s="47"/>
    </row>
    <row r="42" spans="1:11" x14ac:dyDescent="0.25">
      <c r="A42" s="47"/>
      <c r="B42" s="81">
        <f t="shared" si="4"/>
        <v>200</v>
      </c>
      <c r="C42" s="82">
        <f t="shared" si="0"/>
        <v>10.929971483413771</v>
      </c>
      <c r="D42" s="83">
        <f t="shared" si="1"/>
        <v>127.61</v>
      </c>
      <c r="E42" s="84">
        <f t="shared" si="2"/>
        <v>462.15</v>
      </c>
      <c r="F42" s="76">
        <f t="shared" si="3"/>
        <v>370.46489466453096</v>
      </c>
      <c r="G42" s="47"/>
      <c r="H42" s="47"/>
      <c r="I42" s="47"/>
      <c r="J42" s="47"/>
      <c r="K42" s="47"/>
    </row>
    <row r="43" spans="1:11" x14ac:dyDescent="0.25">
      <c r="A43" s="47"/>
      <c r="B43" s="81">
        <f t="shared" si="4"/>
        <v>210</v>
      </c>
      <c r="C43" s="82">
        <f t="shared" si="0"/>
        <v>10.408336634324902</v>
      </c>
      <c r="D43" s="83">
        <f t="shared" si="1"/>
        <v>131.61000000000001</v>
      </c>
      <c r="E43" s="84">
        <f t="shared" si="2"/>
        <v>519.38</v>
      </c>
      <c r="F43" s="76">
        <f t="shared" si="3"/>
        <v>371.29732725490169</v>
      </c>
      <c r="G43" s="47"/>
      <c r="H43" s="47"/>
      <c r="I43" s="47"/>
      <c r="J43" s="47"/>
      <c r="K43" s="47"/>
    </row>
    <row r="44" spans="1:11" x14ac:dyDescent="0.25">
      <c r="A44" s="47"/>
      <c r="B44" s="81">
        <f t="shared" si="4"/>
        <v>220</v>
      </c>
      <c r="C44" s="82">
        <f t="shared" si="0"/>
        <v>9.9342240118797633</v>
      </c>
      <c r="D44" s="83">
        <f t="shared" si="1"/>
        <v>135.46</v>
      </c>
      <c r="E44" s="84">
        <f t="shared" si="2"/>
        <v>585.26</v>
      </c>
      <c r="F44" s="76">
        <f t="shared" si="3"/>
        <v>372.05392317466982</v>
      </c>
      <c r="G44" s="47"/>
      <c r="H44" s="47"/>
      <c r="I44" s="47"/>
      <c r="J44" s="47"/>
      <c r="K44" s="47"/>
    </row>
    <row r="45" spans="1:11" x14ac:dyDescent="0.25">
      <c r="A45" s="47"/>
      <c r="B45" s="81">
        <f t="shared" si="4"/>
        <v>230</v>
      </c>
      <c r="C45" s="82">
        <f t="shared" si="0"/>
        <v>9.5014224534162839</v>
      </c>
      <c r="D45" s="83">
        <f t="shared" si="1"/>
        <v>139.18</v>
      </c>
      <c r="E45" s="84">
        <f t="shared" si="2"/>
        <v>661.92</v>
      </c>
      <c r="F45" s="76">
        <f t="shared" si="3"/>
        <v>372.74459428887457</v>
      </c>
      <c r="G45" s="47"/>
      <c r="H45" s="47"/>
      <c r="I45" s="47"/>
      <c r="J45" s="47"/>
      <c r="K45" s="47"/>
    </row>
    <row r="46" spans="1:11" x14ac:dyDescent="0.25">
      <c r="A46" s="47"/>
      <c r="B46" s="81">
        <f t="shared" si="4"/>
        <v>240</v>
      </c>
      <c r="C46" s="82">
        <f t="shared" si="0"/>
        <v>9.1047580082911335</v>
      </c>
      <c r="D46" s="83">
        <f t="shared" si="1"/>
        <v>142.78</v>
      </c>
      <c r="E46" s="84">
        <f t="shared" si="2"/>
        <v>752.25</v>
      </c>
      <c r="F46" s="76">
        <f t="shared" si="3"/>
        <v>373.37759726430892</v>
      </c>
      <c r="G46" s="47"/>
      <c r="H46" s="47"/>
      <c r="I46" s="47"/>
      <c r="J46" s="47"/>
      <c r="K46" s="47"/>
    </row>
    <row r="47" spans="1:11" x14ac:dyDescent="0.25">
      <c r="A47" s="47"/>
      <c r="B47" s="81">
        <f t="shared" si="4"/>
        <v>250</v>
      </c>
      <c r="C47" s="82">
        <f t="shared" ref="C47:C72" si="5">$D$3^2/(B47*10-$D$3)*1000</f>
        <v>8.7398861072483385</v>
      </c>
      <c r="D47" s="83">
        <f t="shared" ref="D47:D72" si="6">ROUND(MID($D$6,1,6)*B47/(MID($D$6,1,6)+(B47-$D$3*0.1)),2)</f>
        <v>146.25</v>
      </c>
      <c r="E47" s="84">
        <f t="shared" ref="E47:E72" si="7">ROUND(MID($D$6,1,6)*B47/(MID($D$6,1,6)-(B47-$D$3*0.1)),2)</f>
        <v>860.24</v>
      </c>
      <c r="F47" s="76">
        <f t="shared" si="3"/>
        <v>373.95986522870794</v>
      </c>
      <c r="G47" s="47"/>
      <c r="H47" s="47"/>
      <c r="I47" s="47"/>
      <c r="J47" s="47"/>
      <c r="K47" s="47"/>
    </row>
    <row r="48" spans="1:11" x14ac:dyDescent="0.25">
      <c r="A48" s="47"/>
      <c r="B48" s="81">
        <f t="shared" si="4"/>
        <v>260</v>
      </c>
      <c r="C48" s="82">
        <f t="shared" si="5"/>
        <v>8.4031317790030542</v>
      </c>
      <c r="D48" s="83">
        <f t="shared" si="6"/>
        <v>149.61000000000001</v>
      </c>
      <c r="E48" s="84">
        <f t="shared" si="7"/>
        <v>991.66</v>
      </c>
      <c r="F48" s="76">
        <f t="shared" si="3"/>
        <v>374.4972627554825</v>
      </c>
      <c r="G48" s="47"/>
      <c r="H48" s="47"/>
      <c r="I48" s="47"/>
      <c r="J48" s="47"/>
      <c r="K48" s="47"/>
    </row>
    <row r="49" spans="1:11" x14ac:dyDescent="0.25">
      <c r="A49" s="47"/>
      <c r="B49" s="81">
        <f t="shared" si="4"/>
        <v>270</v>
      </c>
      <c r="C49" s="82">
        <f t="shared" si="5"/>
        <v>8.0913654357722429</v>
      </c>
      <c r="D49" s="83">
        <f t="shared" si="6"/>
        <v>152.87</v>
      </c>
      <c r="E49" s="84">
        <f t="shared" si="7"/>
        <v>1155.04</v>
      </c>
      <c r="F49" s="76">
        <f t="shared" si="3"/>
        <v>374.9947840870027</v>
      </c>
      <c r="G49" s="47"/>
      <c r="H49" s="47"/>
      <c r="I49" s="47"/>
      <c r="J49" s="47"/>
      <c r="K49" s="47"/>
    </row>
    <row r="50" spans="1:11" x14ac:dyDescent="0.25">
      <c r="A50" s="47"/>
      <c r="B50" s="81">
        <f t="shared" si="4"/>
        <v>280</v>
      </c>
      <c r="C50" s="82">
        <f t="shared" si="5"/>
        <v>7.8019053206598139</v>
      </c>
      <c r="D50" s="83">
        <f t="shared" si="6"/>
        <v>156.02000000000001</v>
      </c>
      <c r="E50" s="84">
        <f t="shared" si="7"/>
        <v>1363.66</v>
      </c>
      <c r="F50" s="76">
        <f t="shared" si="3"/>
        <v>375.45670881050023</v>
      </c>
      <c r="G50" s="47"/>
      <c r="H50" s="47"/>
      <c r="I50" s="47"/>
      <c r="J50" s="47"/>
      <c r="K50" s="47"/>
    </row>
    <row r="51" spans="1:11" x14ac:dyDescent="0.25">
      <c r="A51" s="47"/>
      <c r="B51" s="81">
        <f t="shared" si="4"/>
        <v>290</v>
      </c>
      <c r="C51" s="82">
        <f t="shared" si="5"/>
        <v>7.5324401708958897</v>
      </c>
      <c r="D51" s="83">
        <f t="shared" si="6"/>
        <v>159.07</v>
      </c>
      <c r="E51" s="84">
        <f t="shared" si="7"/>
        <v>1639.33</v>
      </c>
      <c r="F51" s="76">
        <f t="shared" ref="F51:F72" si="8">F$18- (((D$3*D$3)/((B51*10)-D$3))*1000 - ((D$3*D$3)/((B$18*10)-D$3))*1000)/F$5</f>
        <v>375.88672527321245</v>
      </c>
      <c r="G51" s="47"/>
      <c r="H51" s="47"/>
      <c r="I51" s="47"/>
      <c r="J51" s="47"/>
      <c r="K51" s="47"/>
    </row>
    <row r="52" spans="1:11" x14ac:dyDescent="0.25">
      <c r="A52" s="47"/>
      <c r="B52" s="81">
        <f t="shared" si="4"/>
        <v>300</v>
      </c>
      <c r="C52" s="82">
        <f t="shared" si="5"/>
        <v>7.2809673725432589</v>
      </c>
      <c r="D52" s="83">
        <f t="shared" si="6"/>
        <v>162.03</v>
      </c>
      <c r="E52" s="84">
        <f t="shared" si="7"/>
        <v>2020.56</v>
      </c>
      <c r="F52" s="76">
        <f t="shared" si="8"/>
        <v>376.28802927601458</v>
      </c>
      <c r="G52" s="47"/>
      <c r="H52" s="47"/>
      <c r="I52" s="47"/>
      <c r="J52" s="47"/>
      <c r="K52" s="47"/>
    </row>
    <row r="53" spans="1:11" x14ac:dyDescent="0.25">
      <c r="A53" s="47"/>
      <c r="B53" s="81">
        <f t="shared" si="4"/>
        <v>310</v>
      </c>
      <c r="C53" s="82">
        <f t="shared" si="5"/>
        <v>7.0457431033201621</v>
      </c>
      <c r="D53" s="83">
        <f t="shared" si="6"/>
        <v>164.9</v>
      </c>
      <c r="E53" s="84">
        <f t="shared" si="7"/>
        <v>2582.37</v>
      </c>
      <c r="F53" s="76">
        <f t="shared" si="8"/>
        <v>376.66340363623897</v>
      </c>
      <c r="G53" s="47"/>
      <c r="H53" s="47"/>
      <c r="I53" s="47"/>
      <c r="J53" s="47"/>
      <c r="K53" s="47"/>
    </row>
    <row r="54" spans="1:11" x14ac:dyDescent="0.25">
      <c r="A54" s="47"/>
      <c r="B54" s="81">
        <f t="shared" si="4"/>
        <v>320</v>
      </c>
      <c r="C54" s="82">
        <f t="shared" si="5"/>
        <v>6.8252418373063177</v>
      </c>
      <c r="D54" s="83">
        <f t="shared" si="6"/>
        <v>167.68</v>
      </c>
      <c r="E54" s="84">
        <f t="shared" si="7"/>
        <v>3492.82</v>
      </c>
      <c r="F54" s="76">
        <f t="shared" si="8"/>
        <v>377.01528281066248</v>
      </c>
      <c r="G54" s="47"/>
      <c r="H54" s="47"/>
      <c r="I54" s="47"/>
      <c r="J54" s="47"/>
      <c r="K54" s="47"/>
    </row>
    <row r="55" spans="1:11" x14ac:dyDescent="0.25">
      <c r="A55" s="47"/>
      <c r="B55" s="81">
        <f t="shared" si="4"/>
        <v>330</v>
      </c>
      <c r="C55" s="82">
        <f t="shared" si="5"/>
        <v>6.6181232228638702</v>
      </c>
      <c r="D55" s="83">
        <f t="shared" si="6"/>
        <v>170.38</v>
      </c>
      <c r="E55" s="84">
        <f t="shared" si="7"/>
        <v>5222.51</v>
      </c>
      <c r="F55" s="76">
        <f t="shared" si="8"/>
        <v>377.34580575220957</v>
      </c>
      <c r="G55" s="47"/>
      <c r="H55" s="47"/>
      <c r="I55" s="47"/>
      <c r="J55" s="47"/>
      <c r="K55" s="47"/>
    </row>
    <row r="56" spans="1:11" x14ac:dyDescent="0.25">
      <c r="A56" s="47"/>
      <c r="B56" s="81">
        <f t="shared" si="4"/>
        <v>340</v>
      </c>
      <c r="C56" s="82">
        <f t="shared" si="5"/>
        <v>6.4232048136705409</v>
      </c>
      <c r="D56" s="83">
        <f t="shared" si="6"/>
        <v>173.01</v>
      </c>
      <c r="E56" s="84">
        <f t="shared" si="7"/>
        <v>9781.5</v>
      </c>
      <c r="F56" s="76">
        <f t="shared" si="8"/>
        <v>377.65685942617165</v>
      </c>
      <c r="G56" s="47"/>
      <c r="H56" s="47"/>
      <c r="I56" s="47"/>
      <c r="J56" s="47"/>
      <c r="K56" s="47"/>
    </row>
    <row r="57" spans="1:11" x14ac:dyDescent="0.25">
      <c r="A57" s="47"/>
      <c r="B57" s="81">
        <f t="shared" si="4"/>
        <v>350</v>
      </c>
      <c r="C57" s="82">
        <f t="shared" si="5"/>
        <v>6.239439480678505</v>
      </c>
      <c r="D57" s="83">
        <f t="shared" si="6"/>
        <v>175.56</v>
      </c>
      <c r="E57" s="84">
        <f t="shared" si="7"/>
        <v>55283.34</v>
      </c>
      <c r="F57" s="76">
        <f t="shared" si="8"/>
        <v>377.95011485653657</v>
      </c>
      <c r="G57" s="47"/>
      <c r="H57" s="47"/>
      <c r="I57" s="47"/>
      <c r="J57" s="47"/>
      <c r="K57" s="47"/>
    </row>
    <row r="58" spans="1:11" x14ac:dyDescent="0.25">
      <c r="A58" s="47"/>
      <c r="B58" s="81">
        <f t="shared" si="4"/>
        <v>360</v>
      </c>
      <c r="C58" s="82">
        <f t="shared" si="5"/>
        <v>6.0658965936367455</v>
      </c>
      <c r="D58" s="83">
        <f t="shared" si="6"/>
        <v>178.03</v>
      </c>
      <c r="E58" s="84">
        <f t="shared" si="7"/>
        <v>-16291.47</v>
      </c>
      <c r="F58" s="76">
        <f t="shared" si="8"/>
        <v>378.22705715679302</v>
      </c>
      <c r="G58" s="47"/>
      <c r="H58" s="47"/>
      <c r="I58" s="47"/>
      <c r="J58" s="47"/>
      <c r="K58" s="47"/>
    </row>
    <row r="59" spans="1:11" x14ac:dyDescent="0.25">
      <c r="A59" s="47"/>
      <c r="B59" s="81">
        <f t="shared" si="4"/>
        <v>370</v>
      </c>
      <c r="C59" s="82">
        <f t="shared" si="5"/>
        <v>5.9017462581149713</v>
      </c>
      <c r="D59" s="83">
        <f t="shared" si="6"/>
        <v>180.44</v>
      </c>
      <c r="E59" s="84">
        <f t="shared" si="7"/>
        <v>-7322.97</v>
      </c>
      <c r="F59" s="76">
        <f t="shared" si="8"/>
        <v>378.48901068472026</v>
      </c>
      <c r="G59" s="47"/>
      <c r="H59" s="47"/>
      <c r="I59" s="47"/>
      <c r="J59" s="47"/>
      <c r="K59" s="47"/>
    </row>
    <row r="60" spans="1:11" x14ac:dyDescent="0.25">
      <c r="A60" s="47"/>
      <c r="B60" s="81">
        <f t="shared" si="4"/>
        <v>380</v>
      </c>
      <c r="C60" s="82">
        <f t="shared" si="5"/>
        <v>5.74624604448098</v>
      </c>
      <c r="D60" s="83">
        <f t="shared" si="6"/>
        <v>182.78</v>
      </c>
      <c r="E60" s="84">
        <f t="shared" si="7"/>
        <v>-4812.8999999999996</v>
      </c>
      <c r="F60" s="76">
        <f t="shared" si="8"/>
        <v>378.737160220482</v>
      </c>
      <c r="G60" s="47"/>
      <c r="H60" s="47"/>
      <c r="I60" s="47"/>
      <c r="J60" s="47"/>
      <c r="K60" s="47"/>
    </row>
    <row r="61" spans="1:11" x14ac:dyDescent="0.25">
      <c r="A61" s="47"/>
      <c r="B61" s="81">
        <f t="shared" si="4"/>
        <v>390</v>
      </c>
      <c r="C61" s="82">
        <f t="shared" si="5"/>
        <v>5.5987297610215307</v>
      </c>
      <c r="D61" s="83">
        <f t="shared" si="6"/>
        <v>185.06</v>
      </c>
      <c r="E61" s="84">
        <f t="shared" si="7"/>
        <v>-3631.86</v>
      </c>
      <c r="F61" s="76">
        <f t="shared" si="8"/>
        <v>378.97256888264576</v>
      </c>
      <c r="G61" s="47"/>
      <c r="H61" s="47"/>
      <c r="I61" s="47"/>
      <c r="J61" s="47"/>
      <c r="K61" s="47"/>
    </row>
    <row r="62" spans="1:11" x14ac:dyDescent="0.25">
      <c r="A62" s="47"/>
      <c r="B62" s="81">
        <f t="shared" si="4"/>
        <v>400</v>
      </c>
      <c r="C62" s="82">
        <f t="shared" si="5"/>
        <v>5.4585979130635014</v>
      </c>
      <c r="D62" s="83">
        <f t="shared" si="6"/>
        <v>187.28</v>
      </c>
      <c r="E62" s="84">
        <f t="shared" si="7"/>
        <v>-2945.26</v>
      </c>
      <c r="F62" s="76">
        <f t="shared" si="8"/>
        <v>379.1961933536582</v>
      </c>
      <c r="G62" s="47"/>
      <c r="H62" s="47"/>
      <c r="I62" s="47"/>
      <c r="J62" s="47"/>
      <c r="K62" s="47"/>
    </row>
    <row r="63" spans="1:11" x14ac:dyDescent="0.25">
      <c r="A63" s="47"/>
      <c r="B63" s="81">
        <f t="shared" si="4"/>
        <v>410</v>
      </c>
      <c r="C63" s="82">
        <f t="shared" si="5"/>
        <v>5.3253095599133644</v>
      </c>
      <c r="D63" s="83">
        <f t="shared" si="6"/>
        <v>189.44</v>
      </c>
      <c r="E63" s="84">
        <f t="shared" si="7"/>
        <v>-2496.35</v>
      </c>
      <c r="F63" s="76">
        <f t="shared" si="8"/>
        <v>379.40889687466108</v>
      </c>
      <c r="G63" s="47"/>
      <c r="H63" s="47"/>
      <c r="I63" s="47"/>
      <c r="J63" s="47"/>
      <c r="K63" s="47"/>
    </row>
    <row r="64" spans="1:11" x14ac:dyDescent="0.25">
      <c r="A64" s="47"/>
      <c r="B64" s="81">
        <f t="shared" si="4"/>
        <v>420</v>
      </c>
      <c r="C64" s="82">
        <f t="shared" si="5"/>
        <v>5.1983753363859337</v>
      </c>
      <c r="D64" s="83">
        <f t="shared" si="6"/>
        <v>191.55</v>
      </c>
      <c r="E64" s="84">
        <f t="shared" si="7"/>
        <v>-2179.91</v>
      </c>
      <c r="F64" s="76">
        <f t="shared" si="8"/>
        <v>379.61146038183892</v>
      </c>
      <c r="G64" s="47"/>
      <c r="H64" s="47"/>
      <c r="I64" s="47"/>
      <c r="J64" s="47"/>
      <c r="K64" s="47"/>
    </row>
    <row r="65" spans="1:12" x14ac:dyDescent="0.25">
      <c r="A65" s="47"/>
      <c r="B65" s="81">
        <f t="shared" si="4"/>
        <v>430</v>
      </c>
      <c r="C65" s="82">
        <f t="shared" si="5"/>
        <v>5.0773514491319638</v>
      </c>
      <c r="D65" s="83">
        <f t="shared" si="6"/>
        <v>193.6</v>
      </c>
      <c r="E65" s="84">
        <f t="shared" si="7"/>
        <v>-1944.85</v>
      </c>
      <c r="F65" s="76">
        <f t="shared" si="8"/>
        <v>379.80459208716792</v>
      </c>
      <c r="G65" s="47"/>
      <c r="H65" s="47"/>
      <c r="I65" s="47"/>
      <c r="J65" s="47"/>
      <c r="K65" s="47"/>
    </row>
    <row r="66" spans="1:12" x14ac:dyDescent="0.25">
      <c r="A66" s="47"/>
      <c r="B66" s="81">
        <f t="shared" si="4"/>
        <v>440</v>
      </c>
      <c r="C66" s="82">
        <f t="shared" si="5"/>
        <v>4.9618344925181948</v>
      </c>
      <c r="D66" s="83">
        <f t="shared" si="6"/>
        <v>195.6</v>
      </c>
      <c r="E66" s="84">
        <f t="shared" si="7"/>
        <v>-1763.35</v>
      </c>
      <c r="F66" s="76">
        <f t="shared" si="8"/>
        <v>379.98893575131098</v>
      </c>
      <c r="G66" s="47"/>
      <c r="H66" s="47"/>
      <c r="I66" s="47"/>
      <c r="J66" s="47"/>
      <c r="K66" s="47"/>
    </row>
    <row r="67" spans="1:12" x14ac:dyDescent="0.25">
      <c r="A67" s="47"/>
      <c r="B67" s="81">
        <f t="shared" si="4"/>
        <v>450</v>
      </c>
      <c r="C67" s="82">
        <f t="shared" si="5"/>
        <v>4.8514569564414618</v>
      </c>
      <c r="D67" s="83">
        <f t="shared" si="6"/>
        <v>197.55</v>
      </c>
      <c r="E67" s="84">
        <f t="shared" si="7"/>
        <v>-1618.97</v>
      </c>
      <c r="F67" s="76">
        <f t="shared" si="8"/>
        <v>380.16507785231431</v>
      </c>
      <c r="G67" s="47"/>
      <c r="H67" s="47"/>
      <c r="I67" s="47"/>
      <c r="J67" s="47"/>
      <c r="K67" s="47"/>
    </row>
    <row r="68" spans="1:12" x14ac:dyDescent="0.25">
      <c r="A68" s="47"/>
      <c r="B68" s="81">
        <f t="shared" si="4"/>
        <v>460</v>
      </c>
      <c r="C68" s="82">
        <f t="shared" si="5"/>
        <v>4.7458833206755546</v>
      </c>
      <c r="D68" s="83">
        <f t="shared" si="6"/>
        <v>199.45</v>
      </c>
      <c r="E68" s="84">
        <f t="shared" si="7"/>
        <v>-1501.39</v>
      </c>
      <c r="F68" s="76">
        <f t="shared" si="8"/>
        <v>380.3335538183066</v>
      </c>
      <c r="G68" s="47"/>
      <c r="H68" s="47"/>
      <c r="I68" s="47"/>
      <c r="J68" s="47"/>
      <c r="K68" s="47"/>
    </row>
    <row r="69" spans="1:12" x14ac:dyDescent="0.25">
      <c r="A69" s="47"/>
      <c r="B69" s="81">
        <f t="shared" si="4"/>
        <v>470</v>
      </c>
      <c r="C69" s="82">
        <f t="shared" si="5"/>
        <v>4.6448066483079993</v>
      </c>
      <c r="D69" s="83">
        <f t="shared" si="6"/>
        <v>201.3</v>
      </c>
      <c r="E69" s="84">
        <f t="shared" si="7"/>
        <v>-1403.78</v>
      </c>
      <c r="F69" s="76">
        <f t="shared" si="8"/>
        <v>380.4948534637424</v>
      </c>
      <c r="G69" s="47"/>
      <c r="H69" s="47"/>
      <c r="I69" s="47"/>
      <c r="J69" s="47"/>
      <c r="K69" s="47"/>
    </row>
    <row r="70" spans="1:12" x14ac:dyDescent="0.25">
      <c r="A70" s="47"/>
      <c r="B70" s="81">
        <f t="shared" si="4"/>
        <v>480</v>
      </c>
      <c r="C70" s="82">
        <f t="shared" si="5"/>
        <v>4.5479456054119316</v>
      </c>
      <c r="D70" s="83">
        <f t="shared" si="6"/>
        <v>203.11</v>
      </c>
      <c r="E70" s="84">
        <f t="shared" si="7"/>
        <v>-1321.44</v>
      </c>
      <c r="F70" s="76">
        <f t="shared" si="8"/>
        <v>380.64942574545404</v>
      </c>
      <c r="G70" s="47"/>
      <c r="H70" s="47"/>
      <c r="I70" s="47"/>
      <c r="J70" s="47"/>
      <c r="K70" s="47"/>
    </row>
    <row r="71" spans="1:12" x14ac:dyDescent="0.25">
      <c r="A71" s="47"/>
      <c r="B71" s="81">
        <f t="shared" si="4"/>
        <v>490</v>
      </c>
      <c r="C71" s="82">
        <f t="shared" si="5"/>
        <v>4.4550418460042529</v>
      </c>
      <c r="D71" s="83">
        <f t="shared" si="6"/>
        <v>204.88</v>
      </c>
      <c r="E71" s="84">
        <f t="shared" si="7"/>
        <v>-1251.06</v>
      </c>
      <c r="F71" s="76">
        <f t="shared" si="8"/>
        <v>380.79768293577405</v>
      </c>
      <c r="G71" s="47"/>
      <c r="H71" s="47"/>
      <c r="I71" s="47"/>
      <c r="J71" s="47"/>
      <c r="K71" s="47"/>
    </row>
    <row r="72" spans="1:12" x14ac:dyDescent="0.25">
      <c r="A72" s="47"/>
      <c r="B72" s="81">
        <f t="shared" si="4"/>
        <v>500</v>
      </c>
      <c r="C72" s="82">
        <f t="shared" si="5"/>
        <v>4.3658577111021692</v>
      </c>
      <c r="D72" s="103">
        <f t="shared" si="6"/>
        <v>206.6</v>
      </c>
      <c r="E72" s="84">
        <f t="shared" si="7"/>
        <v>-1190.2</v>
      </c>
      <c r="F72" s="76">
        <f t="shared" si="8"/>
        <v>380.94000429441445</v>
      </c>
      <c r="G72" s="47"/>
      <c r="H72" s="47"/>
      <c r="I72" s="47"/>
      <c r="J72" s="47"/>
      <c r="K72" s="47"/>
    </row>
    <row r="73" spans="1:12" x14ac:dyDescent="0.25">
      <c r="A73" s="47"/>
      <c r="B73" s="104" t="s">
        <v>98</v>
      </c>
      <c r="C73" s="105">
        <v>0</v>
      </c>
      <c r="D73" s="106"/>
      <c r="E73" s="107"/>
      <c r="F73" s="76" t="e">
        <f>H$5-(#REF!-H$3)</f>
        <v>#REF!</v>
      </c>
      <c r="G73" s="47"/>
      <c r="H73" s="47"/>
      <c r="I73" s="47"/>
      <c r="J73" s="47"/>
      <c r="K73" s="47"/>
    </row>
    <row r="74" spans="1:12" ht="15.75" thickBot="1" x14ac:dyDescent="0.3">
      <c r="A74" s="47"/>
      <c r="B74" s="108" t="s">
        <v>99</v>
      </c>
      <c r="C74" s="109">
        <v>-30</v>
      </c>
      <c r="D74" s="110"/>
      <c r="E74" s="111"/>
      <c r="F74" s="76" t="e">
        <f>H$5-(#REF!-H$3)</f>
        <v>#REF!</v>
      </c>
      <c r="G74" s="47"/>
      <c r="H74" s="47"/>
      <c r="I74" s="47"/>
      <c r="J74" s="47"/>
      <c r="K74" s="47"/>
    </row>
    <row r="75" spans="1:12" x14ac:dyDescent="0.25">
      <c r="A75" s="47"/>
      <c r="B75" s="47"/>
      <c r="C75" s="47"/>
      <c r="D75" s="47"/>
      <c r="E75" s="47"/>
      <c r="F75" s="47"/>
      <c r="G75" s="47"/>
      <c r="H75" s="47"/>
      <c r="I75" s="47"/>
      <c r="J75" s="47"/>
      <c r="K75" s="47"/>
      <c r="L75" s="47"/>
    </row>
  </sheetData>
  <mergeCells count="7">
    <mergeCell ref="K2:L2"/>
    <mergeCell ref="D13:E13"/>
    <mergeCell ref="F13:F14"/>
    <mergeCell ref="B2:B6"/>
    <mergeCell ref="C2:D2"/>
    <mergeCell ref="E2:F2"/>
    <mergeCell ref="G2:H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I48"/>
  <sheetViews>
    <sheetView zoomScaleNormal="100" workbookViewId="0"/>
  </sheetViews>
  <sheetFormatPr defaultRowHeight="12.75" x14ac:dyDescent="0.2"/>
  <cols>
    <col min="1" max="2" width="9.140625" style="158"/>
    <col min="3" max="3" width="19.7109375" style="158" customWidth="1"/>
    <col min="4" max="4" width="19.5703125" style="158" customWidth="1"/>
    <col min="5" max="5" width="21.28515625" style="159" customWidth="1"/>
    <col min="6" max="6" width="18.28515625" style="159" customWidth="1"/>
    <col min="7" max="7" width="16.7109375" style="159" customWidth="1"/>
    <col min="8" max="8" width="20.28515625" style="163" customWidth="1"/>
    <col min="9" max="9" width="18.7109375" style="158" customWidth="1"/>
    <col min="10" max="16384" width="9.140625" style="158"/>
  </cols>
  <sheetData>
    <row r="1" spans="3:9" x14ac:dyDescent="0.2">
      <c r="C1" s="170" t="str">
        <f>"This table tells the lens position tolerance for a particular distance, for example: For the distance " &amp;E14 &amp;"cm the lens range should be [" &amp; TEXT(H14,"0") &amp; " - " &amp;I14 &amp; "]"</f>
        <v>This table tells the lens position tolerance for a particular distance, for example: For the distance 175.88cm the lens range should be [358 - 378]</v>
      </c>
    </row>
    <row r="3" spans="3:9" ht="13.5" thickBot="1" x14ac:dyDescent="0.25">
      <c r="C3" s="169" t="s">
        <v>168</v>
      </c>
      <c r="D3" s="158">
        <f>DOF_bidirectional_actuator!D3</f>
        <v>4.67</v>
      </c>
    </row>
    <row r="4" spans="3:9" x14ac:dyDescent="0.2">
      <c r="C4" s="52" t="s">
        <v>66</v>
      </c>
      <c r="D4" s="158">
        <f>DOF_bidirectional_actuator!L3</f>
        <v>6.2081794968871691</v>
      </c>
    </row>
    <row r="5" spans="3:9" ht="15.75" thickBot="1" x14ac:dyDescent="0.3">
      <c r="C5" s="59" t="s">
        <v>74</v>
      </c>
      <c r="D5" s="158">
        <f>DOF_bidirectional_actuator!D6</f>
        <v>351.76</v>
      </c>
    </row>
    <row r="6" spans="3:9" x14ac:dyDescent="0.2">
      <c r="C6" s="169" t="s">
        <v>218</v>
      </c>
      <c r="D6" s="158">
        <f>DOF_bidirectional_actuator!F5</f>
        <v>0.62663914786967412</v>
      </c>
    </row>
    <row r="7" spans="3:9" x14ac:dyDescent="0.2">
      <c r="C7" s="169" t="s">
        <v>217</v>
      </c>
      <c r="D7" s="158">
        <f>DOF_bidirectional_actuator!F27</f>
        <v>317.64492677701577</v>
      </c>
    </row>
    <row r="9" spans="3:9" x14ac:dyDescent="0.2">
      <c r="H9" s="164"/>
      <c r="I9" s="165"/>
    </row>
    <row r="10" spans="3:9" x14ac:dyDescent="0.2">
      <c r="H10" s="168" t="s">
        <v>219</v>
      </c>
      <c r="I10" s="165"/>
    </row>
    <row r="11" spans="3:9" x14ac:dyDescent="0.2">
      <c r="C11" s="162"/>
      <c r="D11" s="162"/>
      <c r="E11" s="160" t="s">
        <v>209</v>
      </c>
      <c r="F11" s="160" t="s">
        <v>210</v>
      </c>
      <c r="G11" s="160" t="s">
        <v>211</v>
      </c>
      <c r="H11" s="166" t="s">
        <v>215</v>
      </c>
      <c r="I11" s="167" t="s">
        <v>216</v>
      </c>
    </row>
    <row r="13" spans="3:9" x14ac:dyDescent="0.2">
      <c r="E13" s="159">
        <f>D5</f>
        <v>351.76</v>
      </c>
      <c r="F13" s="159">
        <f>(D$5*E13)/(D$5+E13)</f>
        <v>175.88</v>
      </c>
      <c r="G13" s="159" t="e">
        <f>(D$5*E13)/(D$5-E13)</f>
        <v>#DIV/0!</v>
      </c>
      <c r="H13" s="163">
        <f>D$7- (((D$3*D$3)/((F13*10)-D$3))*1000 - ((D$3*D$3)/((50*10)-D$3))*1000)/D$6</f>
        <v>368.06651997009521</v>
      </c>
      <c r="I13" s="163" t="e">
        <f>D$7- (((D$3*D$3)/((G13*10)-D$3))*1000 - ((D$3*D$3)/((50*10)-D$3))*1000)/D$6</f>
        <v>#DIV/0!</v>
      </c>
    </row>
    <row r="14" spans="3:9" x14ac:dyDescent="0.2">
      <c r="E14" s="159">
        <f>F13</f>
        <v>175.88</v>
      </c>
      <c r="F14" s="159">
        <f>(D$5*E14)/(D$5+E14)</f>
        <v>117.25333333333333</v>
      </c>
      <c r="G14" s="159">
        <f t="shared" ref="G14:G22" si="0">(D$5*E14)/(D$5-E14)</f>
        <v>351.76</v>
      </c>
      <c r="H14" s="163">
        <f>D$7- (((D$3*D$3)/((F14*10)-D$3))*1000 - ((D$3*D$3)/((50*10)-D$3))*1000)/D$6</f>
        <v>358.1065589011763</v>
      </c>
      <c r="I14" s="163">
        <f t="shared" ref="I14:I48" si="1">D$7- (((D$3*D$3)/((G14*10)-D$3))*1000 - ((D$3*D$3)/((50*10)-D$3))*1000)/D$6</f>
        <v>378.00000000000006</v>
      </c>
    </row>
    <row r="15" spans="3:9" x14ac:dyDescent="0.2">
      <c r="E15" s="159">
        <f>F14</f>
        <v>117.25333333333333</v>
      </c>
      <c r="F15" s="159">
        <f t="shared" ref="F15:F23" si="2">(D$5*E15)/(D$5+E15)</f>
        <v>87.94</v>
      </c>
      <c r="G15" s="159">
        <f t="shared" si="0"/>
        <v>175.88</v>
      </c>
      <c r="H15" s="163">
        <f>D$7- (((D$3*D$3)/((F15*10)-D$3))*1000 - ((D$3*D$3)/((50*10)-D$3))*1000)/D$6</f>
        <v>348.12001076070857</v>
      </c>
      <c r="I15" s="163">
        <f t="shared" si="1"/>
        <v>368.06651997009521</v>
      </c>
    </row>
    <row r="16" spans="3:9" x14ac:dyDescent="0.2">
      <c r="E16" s="159">
        <f t="shared" ref="E16:E48" si="3">F15</f>
        <v>87.94</v>
      </c>
      <c r="F16" s="159">
        <f t="shared" si="2"/>
        <v>70.352000000000004</v>
      </c>
      <c r="G16" s="159">
        <f t="shared" si="0"/>
        <v>117.25333333333333</v>
      </c>
      <c r="H16" s="163">
        <f t="shared" ref="H16:H48" si="4">D$7- (((D$3*D$3)/((F16*10)-D$3))*1000 - ((D$3*D$3)/((50*10)-D$3))*1000)/D$6</f>
        <v>338.10676894931515</v>
      </c>
      <c r="I16" s="163">
        <f t="shared" si="1"/>
        <v>358.1065589011763</v>
      </c>
    </row>
    <row r="17" spans="5:9" x14ac:dyDescent="0.2">
      <c r="E17" s="159">
        <f t="shared" si="3"/>
        <v>70.352000000000004</v>
      </c>
      <c r="F17" s="159">
        <f t="shared" si="2"/>
        <v>58.626666666666672</v>
      </c>
      <c r="G17" s="159">
        <f t="shared" si="0"/>
        <v>87.94</v>
      </c>
      <c r="H17" s="163">
        <f t="shared" si="4"/>
        <v>328.06672629698437</v>
      </c>
      <c r="I17" s="163">
        <f t="shared" si="1"/>
        <v>348.12001076070857</v>
      </c>
    </row>
    <row r="18" spans="5:9" x14ac:dyDescent="0.2">
      <c r="E18" s="159">
        <f t="shared" si="3"/>
        <v>58.626666666666672</v>
      </c>
      <c r="F18" s="159">
        <f t="shared" si="2"/>
        <v>50.251428571428576</v>
      </c>
      <c r="G18" s="159">
        <f t="shared" si="0"/>
        <v>70.352000000000004</v>
      </c>
      <c r="H18" s="163">
        <f t="shared" si="4"/>
        <v>317.99977505924591</v>
      </c>
      <c r="I18" s="163">
        <f t="shared" si="1"/>
        <v>338.10676894931515</v>
      </c>
    </row>
    <row r="19" spans="5:9" x14ac:dyDescent="0.2">
      <c r="E19" s="159">
        <f t="shared" si="3"/>
        <v>50.251428571428576</v>
      </c>
      <c r="F19" s="159">
        <f t="shared" si="2"/>
        <v>43.97</v>
      </c>
      <c r="G19" s="159">
        <f t="shared" si="0"/>
        <v>58.626666666666665</v>
      </c>
      <c r="H19" s="163">
        <f t="shared" si="4"/>
        <v>307.90580691331712</v>
      </c>
      <c r="I19" s="163">
        <f t="shared" si="1"/>
        <v>328.06672629698431</v>
      </c>
    </row>
    <row r="20" spans="5:9" x14ac:dyDescent="0.2">
      <c r="E20" s="159">
        <f t="shared" si="3"/>
        <v>43.97</v>
      </c>
      <c r="F20" s="159">
        <f t="shared" si="2"/>
        <v>39.084444444444443</v>
      </c>
      <c r="G20" s="159">
        <f t="shared" si="0"/>
        <v>50.251428571428576</v>
      </c>
      <c r="H20" s="163">
        <f t="shared" si="4"/>
        <v>297.78471295421724</v>
      </c>
      <c r="I20" s="163">
        <f t="shared" si="1"/>
        <v>317.99977505924591</v>
      </c>
    </row>
    <row r="21" spans="5:9" x14ac:dyDescent="0.2">
      <c r="E21" s="159">
        <f t="shared" si="3"/>
        <v>39.084444444444443</v>
      </c>
      <c r="F21" s="159">
        <f t="shared" si="2"/>
        <v>35.176000000000002</v>
      </c>
      <c r="G21" s="159">
        <f t="shared" si="0"/>
        <v>43.97</v>
      </c>
      <c r="H21" s="163">
        <f t="shared" si="4"/>
        <v>287.63638369085106</v>
      </c>
      <c r="I21" s="163">
        <f t="shared" si="1"/>
        <v>307.90580691331712</v>
      </c>
    </row>
    <row r="22" spans="5:9" x14ac:dyDescent="0.2">
      <c r="E22" s="159">
        <f t="shared" si="3"/>
        <v>35.176000000000002</v>
      </c>
      <c r="F22" s="159">
        <f t="shared" si="2"/>
        <v>31.978181818181824</v>
      </c>
      <c r="G22" s="159">
        <f t="shared" si="0"/>
        <v>39.084444444444443</v>
      </c>
      <c r="H22" s="163">
        <f t="shared" si="4"/>
        <v>277.46070904206039</v>
      </c>
      <c r="I22" s="163">
        <f t="shared" si="1"/>
        <v>297.78471295421724</v>
      </c>
    </row>
    <row r="23" spans="5:9" x14ac:dyDescent="0.2">
      <c r="E23" s="159">
        <f t="shared" si="3"/>
        <v>31.978181818181824</v>
      </c>
      <c r="F23" s="159">
        <f t="shared" si="2"/>
        <v>29.313333333333336</v>
      </c>
      <c r="G23" s="159">
        <f>(D$5*E23)/(D$5-E23)</f>
        <v>35.176000000000009</v>
      </c>
      <c r="H23" s="163">
        <f t="shared" si="4"/>
        <v>267.25757833264396</v>
      </c>
      <c r="I23" s="163">
        <f t="shared" si="1"/>
        <v>287.63638369085106</v>
      </c>
    </row>
    <row r="24" spans="5:9" x14ac:dyDescent="0.2">
      <c r="E24" s="159">
        <f t="shared" si="3"/>
        <v>29.313333333333336</v>
      </c>
      <c r="F24" s="159">
        <f t="shared" ref="F24:F38" si="5">(D$5*E24)/(D$5+E24)</f>
        <v>27.058461538461543</v>
      </c>
      <c r="G24" s="159">
        <f t="shared" ref="G24:G37" si="6">(D$5*E24)/(D$5-E24)</f>
        <v>31.978181818181824</v>
      </c>
      <c r="H24" s="163">
        <f t="shared" si="4"/>
        <v>257.02688028934483</v>
      </c>
      <c r="I24" s="163">
        <f t="shared" si="1"/>
        <v>277.46070904206039</v>
      </c>
    </row>
    <row r="25" spans="5:9" x14ac:dyDescent="0.2">
      <c r="E25" s="159">
        <f t="shared" si="3"/>
        <v>27.058461538461543</v>
      </c>
      <c r="F25" s="159">
        <f t="shared" si="5"/>
        <v>25.125714285714288</v>
      </c>
      <c r="G25" s="159">
        <f t="shared" si="6"/>
        <v>29.313333333333336</v>
      </c>
      <c r="H25" s="163">
        <f t="shared" si="4"/>
        <v>246.7685030368051</v>
      </c>
      <c r="I25" s="163">
        <f t="shared" si="1"/>
        <v>267.25757833264396</v>
      </c>
    </row>
    <row r="26" spans="5:9" x14ac:dyDescent="0.2">
      <c r="E26" s="159">
        <f t="shared" si="3"/>
        <v>25.125714285714288</v>
      </c>
      <c r="F26" s="159">
        <f t="shared" si="5"/>
        <v>23.450666666666667</v>
      </c>
      <c r="G26" s="159">
        <f t="shared" si="6"/>
        <v>27.05846153846154</v>
      </c>
      <c r="H26" s="163">
        <f t="shared" si="4"/>
        <v>236.48233409348822</v>
      </c>
      <c r="I26" s="163">
        <f t="shared" si="1"/>
        <v>257.02688028934483</v>
      </c>
    </row>
    <row r="27" spans="5:9" x14ac:dyDescent="0.2">
      <c r="E27" s="159">
        <f t="shared" si="3"/>
        <v>23.450666666666667</v>
      </c>
      <c r="F27" s="159">
        <f t="shared" si="5"/>
        <v>21.984999999999999</v>
      </c>
      <c r="G27" s="159">
        <f t="shared" si="6"/>
        <v>25.125714285714288</v>
      </c>
      <c r="H27" s="163">
        <f t="shared" si="4"/>
        <v>226.16826036756765</v>
      </c>
      <c r="I27" s="163">
        <f t="shared" si="1"/>
        <v>246.7685030368051</v>
      </c>
    </row>
    <row r="28" spans="5:9" x14ac:dyDescent="0.2">
      <c r="E28" s="159">
        <f t="shared" si="3"/>
        <v>21.984999999999999</v>
      </c>
      <c r="F28" s="159">
        <f t="shared" si="5"/>
        <v>20.691764705882353</v>
      </c>
      <c r="G28" s="159">
        <f t="shared" si="6"/>
        <v>23.450666666666667</v>
      </c>
      <c r="H28" s="163">
        <f t="shared" si="4"/>
        <v>215.82616815278226</v>
      </c>
      <c r="I28" s="163">
        <f t="shared" si="1"/>
        <v>236.48233409348822</v>
      </c>
    </row>
    <row r="29" spans="5:9" x14ac:dyDescent="0.2">
      <c r="E29" s="159">
        <f t="shared" si="3"/>
        <v>20.691764705882353</v>
      </c>
      <c r="F29" s="159">
        <f t="shared" si="5"/>
        <v>19.542222222222222</v>
      </c>
      <c r="G29" s="159">
        <f t="shared" si="6"/>
        <v>21.984999999999999</v>
      </c>
      <c r="H29" s="163">
        <f t="shared" si="4"/>
        <v>205.4559431242576</v>
      </c>
      <c r="I29" s="163">
        <f t="shared" si="1"/>
        <v>226.16826036756765</v>
      </c>
    </row>
    <row r="30" spans="5:9" x14ac:dyDescent="0.2">
      <c r="E30" s="159">
        <f t="shared" si="3"/>
        <v>19.542222222222222</v>
      </c>
      <c r="F30" s="159">
        <f t="shared" si="5"/>
        <v>18.513684210526314</v>
      </c>
      <c r="G30" s="159">
        <f t="shared" si="6"/>
        <v>20.691764705882353</v>
      </c>
      <c r="H30" s="163">
        <f t="shared" si="4"/>
        <v>195.0574703342937</v>
      </c>
      <c r="I30" s="163">
        <f t="shared" si="1"/>
        <v>215.82616815278226</v>
      </c>
    </row>
    <row r="31" spans="5:9" x14ac:dyDescent="0.2">
      <c r="E31" s="159">
        <f t="shared" si="3"/>
        <v>18.513684210526314</v>
      </c>
      <c r="F31" s="159">
        <f t="shared" si="5"/>
        <v>17.587999999999997</v>
      </c>
      <c r="G31" s="159">
        <f t="shared" si="6"/>
        <v>19.542222222222222</v>
      </c>
      <c r="H31" s="163">
        <f t="shared" si="4"/>
        <v>184.63063420811739</v>
      </c>
      <c r="I31" s="163">
        <f t="shared" si="1"/>
        <v>205.4559431242576</v>
      </c>
    </row>
    <row r="32" spans="5:9" x14ac:dyDescent="0.2">
      <c r="E32" s="159">
        <f t="shared" si="3"/>
        <v>17.587999999999997</v>
      </c>
      <c r="F32" s="159">
        <f t="shared" si="5"/>
        <v>16.750476190476185</v>
      </c>
      <c r="G32" s="159">
        <f t="shared" si="6"/>
        <v>18.513684210526314</v>
      </c>
      <c r="H32" s="163">
        <f t="shared" si="4"/>
        <v>174.17531853960094</v>
      </c>
      <c r="I32" s="163">
        <f t="shared" si="1"/>
        <v>195.0574703342937</v>
      </c>
    </row>
    <row r="33" spans="5:9" x14ac:dyDescent="0.2">
      <c r="E33" s="159">
        <f t="shared" si="3"/>
        <v>16.750476190476185</v>
      </c>
      <c r="F33" s="159">
        <f t="shared" si="5"/>
        <v>15.989090909090903</v>
      </c>
      <c r="G33" s="159">
        <f t="shared" si="6"/>
        <v>17.587999999999994</v>
      </c>
      <c r="H33" s="163">
        <f t="shared" si="4"/>
        <v>163.69140648694457</v>
      </c>
      <c r="I33" s="163">
        <f t="shared" si="1"/>
        <v>184.63063420811739</v>
      </c>
    </row>
    <row r="34" spans="5:9" x14ac:dyDescent="0.2">
      <c r="E34" s="159">
        <f t="shared" si="3"/>
        <v>15.989090909090903</v>
      </c>
      <c r="F34" s="159">
        <f t="shared" si="5"/>
        <v>15.293913043478256</v>
      </c>
      <c r="G34" s="159">
        <f t="shared" si="6"/>
        <v>16.750476190476185</v>
      </c>
      <c r="H34" s="163">
        <f t="shared" si="4"/>
        <v>153.17878056832427</v>
      </c>
      <c r="I34" s="163">
        <f t="shared" si="1"/>
        <v>174.17531853960094</v>
      </c>
    </row>
    <row r="35" spans="5:9" x14ac:dyDescent="0.2">
      <c r="E35" s="159">
        <f t="shared" si="3"/>
        <v>15.293913043478256</v>
      </c>
      <c r="F35" s="159">
        <f t="shared" si="5"/>
        <v>14.656666666666661</v>
      </c>
      <c r="G35" s="159">
        <f t="shared" si="6"/>
        <v>15.989090909090903</v>
      </c>
      <c r="H35" s="163">
        <f t="shared" si="4"/>
        <v>142.63732265750301</v>
      </c>
      <c r="I35" s="163">
        <f t="shared" si="1"/>
        <v>163.69140648694457</v>
      </c>
    </row>
    <row r="36" spans="5:9" x14ac:dyDescent="0.2">
      <c r="E36" s="159">
        <f t="shared" si="3"/>
        <v>14.656666666666661</v>
      </c>
      <c r="F36" s="159">
        <f t="shared" si="5"/>
        <v>14.070399999999996</v>
      </c>
      <c r="G36" s="159">
        <f t="shared" si="6"/>
        <v>15.293913043478254</v>
      </c>
      <c r="H36" s="163">
        <f t="shared" si="4"/>
        <v>132.06691397940685</v>
      </c>
      <c r="I36" s="163">
        <f t="shared" si="1"/>
        <v>153.17878056832421</v>
      </c>
    </row>
    <row r="37" spans="5:9" x14ac:dyDescent="0.2">
      <c r="E37" s="159">
        <f t="shared" si="3"/>
        <v>14.070399999999996</v>
      </c>
      <c r="F37" s="159">
        <f t="shared" si="5"/>
        <v>13.529230769230765</v>
      </c>
      <c r="G37" s="159">
        <f t="shared" si="6"/>
        <v>14.656666666666661</v>
      </c>
      <c r="H37" s="163">
        <f t="shared" si="4"/>
        <v>121.46743510566336</v>
      </c>
      <c r="I37" s="163">
        <f t="shared" si="1"/>
        <v>142.63732265750301</v>
      </c>
    </row>
    <row r="38" spans="5:9" x14ac:dyDescent="0.2">
      <c r="E38" s="159">
        <f t="shared" si="3"/>
        <v>13.529230769230765</v>
      </c>
      <c r="F38" s="159">
        <f t="shared" si="5"/>
        <v>13.028148148148144</v>
      </c>
      <c r="G38" s="159">
        <f>(D$5*E38)/(D$5-E38)</f>
        <v>14.070399999999996</v>
      </c>
      <c r="H38" s="163">
        <f t="shared" si="4"/>
        <v>110.8387659501042</v>
      </c>
      <c r="I38" s="163">
        <f t="shared" si="1"/>
        <v>132.06691397940685</v>
      </c>
    </row>
    <row r="39" spans="5:9" x14ac:dyDescent="0.2">
      <c r="E39" s="159">
        <f t="shared" si="3"/>
        <v>13.028148148148144</v>
      </c>
      <c r="F39" s="159">
        <f t="shared" ref="F39:F48" si="7">(D$5*E39)/(D$5+E39)</f>
        <v>12.562857142857139</v>
      </c>
      <c r="G39" s="159">
        <f t="shared" ref="G39:G44" si="8">(D$5*E39)/(D$5-E39)</f>
        <v>13.529230769230765</v>
      </c>
      <c r="H39" s="163">
        <f t="shared" si="4"/>
        <v>100.18078576422974</v>
      </c>
      <c r="I39" s="163">
        <f t="shared" si="1"/>
        <v>121.46743510566336</v>
      </c>
    </row>
    <row r="40" spans="5:9" x14ac:dyDescent="0.2">
      <c r="E40" s="159">
        <f t="shared" si="3"/>
        <v>12.562857142857139</v>
      </c>
      <c r="F40" s="159">
        <f t="shared" si="7"/>
        <v>12.12965517241379</v>
      </c>
      <c r="G40" s="159">
        <f t="shared" si="8"/>
        <v>13.028148148148142</v>
      </c>
      <c r="H40" s="163">
        <f t="shared" si="4"/>
        <v>89.493373132636719</v>
      </c>
      <c r="I40" s="163">
        <f t="shared" si="1"/>
        <v>110.83876595010415</v>
      </c>
    </row>
    <row r="41" spans="5:9" x14ac:dyDescent="0.2">
      <c r="E41" s="159">
        <f t="shared" si="3"/>
        <v>12.12965517241379</v>
      </c>
      <c r="F41" s="159">
        <f t="shared" si="7"/>
        <v>11.72533333333333</v>
      </c>
      <c r="G41" s="159">
        <f t="shared" si="8"/>
        <v>12.562857142857139</v>
      </c>
      <c r="H41" s="163">
        <f t="shared" si="4"/>
        <v>78.776405968407431</v>
      </c>
      <c r="I41" s="163">
        <f t="shared" si="1"/>
        <v>100.18078576422974</v>
      </c>
    </row>
    <row r="42" spans="5:9" x14ac:dyDescent="0.2">
      <c r="E42" s="159">
        <f t="shared" si="3"/>
        <v>11.72533333333333</v>
      </c>
      <c r="F42" s="159">
        <f t="shared" si="7"/>
        <v>11.347096774193547</v>
      </c>
      <c r="G42" s="159">
        <f t="shared" si="8"/>
        <v>12.12965517241379</v>
      </c>
      <c r="H42" s="163">
        <f t="shared" si="4"/>
        <v>68.029761508460922</v>
      </c>
      <c r="I42" s="163">
        <f t="shared" si="1"/>
        <v>89.493373132636719</v>
      </c>
    </row>
    <row r="43" spans="5:9" x14ac:dyDescent="0.2">
      <c r="E43" s="159">
        <f t="shared" si="3"/>
        <v>11.347096774193547</v>
      </c>
      <c r="F43" s="159">
        <f t="shared" si="7"/>
        <v>10.992499999999998</v>
      </c>
      <c r="G43" s="159">
        <f t="shared" si="8"/>
        <v>11.725333333333333</v>
      </c>
      <c r="H43" s="163">
        <f t="shared" si="4"/>
        <v>57.253316308865521</v>
      </c>
      <c r="I43" s="163">
        <f t="shared" si="1"/>
        <v>78.776405968407516</v>
      </c>
    </row>
    <row r="44" spans="5:9" x14ac:dyDescent="0.2">
      <c r="E44" s="159">
        <f t="shared" si="3"/>
        <v>10.992499999999998</v>
      </c>
      <c r="F44" s="159">
        <f t="shared" si="7"/>
        <v>10.659393939393938</v>
      </c>
      <c r="G44" s="159">
        <f t="shared" si="8"/>
        <v>11.347096774193547</v>
      </c>
      <c r="H44" s="163">
        <f t="shared" si="4"/>
        <v>46.446946240112084</v>
      </c>
      <c r="I44" s="163">
        <f t="shared" si="1"/>
        <v>68.029761508460922</v>
      </c>
    </row>
    <row r="45" spans="5:9" x14ac:dyDescent="0.2">
      <c r="E45" s="159">
        <f t="shared" si="3"/>
        <v>10.659393939393938</v>
      </c>
      <c r="F45" s="159">
        <f t="shared" si="7"/>
        <v>10.345882352941175</v>
      </c>
      <c r="G45" s="159">
        <f>(D$5*E45)/(D$5-E45)</f>
        <v>10.9925</v>
      </c>
      <c r="H45" s="163">
        <f t="shared" si="4"/>
        <v>35.610526482348121</v>
      </c>
      <c r="I45" s="163">
        <f t="shared" si="1"/>
        <v>57.253316308865521</v>
      </c>
    </row>
    <row r="46" spans="5:9" x14ac:dyDescent="0.2">
      <c r="E46" s="159">
        <f t="shared" si="3"/>
        <v>10.345882352941175</v>
      </c>
      <c r="F46" s="159">
        <f t="shared" si="7"/>
        <v>10.050285714285712</v>
      </c>
      <c r="G46" s="159">
        <f t="shared" ref="G46" si="9">(D$5*E46)/(D$5-E46)</f>
        <v>10.659393939393938</v>
      </c>
      <c r="H46" s="163">
        <f t="shared" si="4"/>
        <v>24.743931520572005</v>
      </c>
      <c r="I46" s="163">
        <f t="shared" si="1"/>
        <v>46.446946240112084</v>
      </c>
    </row>
    <row r="47" spans="5:9" x14ac:dyDescent="0.2">
      <c r="E47" s="159">
        <f t="shared" si="3"/>
        <v>10.050285714285712</v>
      </c>
      <c r="F47" s="159">
        <f t="shared" si="7"/>
        <v>9.7711111111111073</v>
      </c>
      <c r="G47" s="159">
        <f>(D$5*E47)/(D$5-E47)</f>
        <v>10.345882352941175</v>
      </c>
      <c r="H47" s="163">
        <f t="shared" si="4"/>
        <v>13.847035139786612</v>
      </c>
      <c r="I47" s="163">
        <f t="shared" si="1"/>
        <v>35.610526482348121</v>
      </c>
    </row>
    <row r="48" spans="5:9" x14ac:dyDescent="0.2">
      <c r="E48" s="159">
        <f t="shared" si="3"/>
        <v>9.7711111111111073</v>
      </c>
      <c r="F48" s="159">
        <f t="shared" si="7"/>
        <v>9.5070270270270232</v>
      </c>
      <c r="G48" s="159">
        <f t="shared" ref="G48" si="10">(D$5*E48)/(D$5-E48)</f>
        <v>10.05028571428571</v>
      </c>
      <c r="H48" s="163">
        <f t="shared" si="4"/>
        <v>2.9197104201130628</v>
      </c>
      <c r="I48" s="163">
        <f t="shared" si="1"/>
        <v>24.743931520571891</v>
      </c>
    </row>
  </sheetData>
  <dataConsolidate/>
  <pageMargins left="0.7" right="0.7" top="0.75" bottom="0.75" header="0.3" footer="0.3"/>
  <pageSetup orientation="portrait" r:id="rId1"/>
</worksheet>
</file>

<file path=customUI/_rels/customUI.xml.rels><?xml version="1.0" encoding="UTF-8" standalone="yes"?>
<Relationships xmlns="http://schemas.openxmlformats.org/package/2006/relationships"><Relationship Id="TableHead" Type="http://schemas.openxmlformats.org/officeDocument/2006/relationships/image" Target="NULL"/><Relationship Id="r90A757D5-2300-49AE-93E8-F006C2259DE0" Type="http://schemas.openxmlformats.org/officeDocument/2006/relationships/image" Target="NULL"/></Relationships>
</file>

<file path=customUI/customUI.xml><?xml version="1.0" encoding="utf-8"?>
<customUI xmlns="http://schemas.microsoft.com/office/2006/01/customui">
  <ribbon>
    <tabs>
      <tab id="MyCustomTab" label="QTI Tools" insertBeforeMso="TabHome">
        <group id="customGroup1" label="TechPubs">
          <button id="customButton4" label="Import Sheets" size="large" onAction="ImportSheets" imageMso="ZoomToSelection"/>
          <gallery id="HeadFootGallery" imageMso="HeaderFooterInsert" label="Header/ Footer" columns="1" rows="2" onAction="HeadFoot" size="large">
            <item id="SetHeadFoot" label="Set Headers/Footers"/>
            <item id="ClearHeadFoot" label="Clear Headers/Footers"/>
          </gallery>
          <separator id="MySeparator1"/>
          <button id="customButton3" label="Numerous Changes" size="large" onAction="NumerousChgNote" imageMso="AccountMenu"/>
          <button id="customButtonChgCs" label="Change Case" size="large" onAction="InitialCapsCase" imageMso="FormControlLabel"/>
          <button id="customButtonBull" label="Bulleted / Numbered List" size="large" onAction="BulletedList" imageMso="SmartArtAddBullet"/>
          <gallery id="TableGallery" imageMso="TableStyleRowHeaders" label="Format Table Cells" columns="1" rows="2" onAction="FormatCustomTable" size="large">
            <item id="TableEntry" label="Format as Table Entry"/>
            <item id="TableHead" label="Format as Table Head"/>
          </gallery>
          <button id="customButtonBk" label="Line Break" size="large" onAction="LineBreak" imageMso="PivotTableSubtotalsDoNotShow"/>
          <button idMso="Spelling" size="large"/>
        </group>
        <group idMso="GroupFont"/>
        <group idMso="GroupAlignmentExcel"/>
        <group idMso="GroupWorkbookViews"/>
        <group idMso="GroupPageSetup"/>
        <group idMso="GroupPageLayoutScaleToFit"/>
        <group idMso="GroupCells"/>
        <group id="customGroup2" label="Template">
          <button id="customButton5" label="Ver 6-13" size="large" onAction="basTemplate.RevHx" imageMso="ReviewCompareMajorVersion"/>
          <!-- <button id="customButton6" label="Template Version" size="large" onAction="basTemplate.Templatever" imageMso="BarcodeInsert" /> -->
          <button id="customButton7" label="Help" size="large" onAction="basTemplate.Help_Me" imageMso="TentativeAcceptInvita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79e7c47d-1374-4efb-84fe-af3625726193">TECHPUBS-503-56</_dlc_DocId>
    <_dlc_DocIdUrl xmlns="79e7c47d-1374-4efb-84fe-af3625726193">
      <Url>http://sharepoint/qct/Tech-Pubs/SW/ASW/_layouts/DocIdRedir.aspx?ID=TECHPUBS-503-56</Url>
      <Description>TECHPUBS-503-56</Description>
    </_dlc_DocIdUrl>
    <PublishingRollupImage xmlns="http://schemas.microsoft.com/sharepoint/v3" xsi:nil="true"/>
    <PublishingContactEmail xmlns="http://schemas.microsoft.com/sharepoint/v3" xsi:nil="true"/>
    <PublishingVariationRelationshipLinkFieldID xmlns="http://schemas.microsoft.com/sharepoint/v3">
      <Url xsi:nil="true"/>
      <Description xsi:nil="true"/>
    </PublishingVariationRelationshipLinkFieldID>
    <PublishingVariationGroupID xmlns="http://schemas.microsoft.com/sharepoint/v3" xsi:nil="true"/>
    <Audience xmlns="http://schemas.microsoft.com/sharepoint/v3" xsi:nil="true"/>
    <PublishingExpirationDate xmlns="http://schemas.microsoft.com/sharepoint/v3" xsi:nil="true"/>
    <PublishingContactPicture xmlns="http://schemas.microsoft.com/sharepoint/v3">
      <Url xsi:nil="true"/>
      <Description xsi:nil="true"/>
    </PublishingContactPicture>
    <PublishingStartDate xmlns="http://schemas.microsoft.com/sharepoint/v3" xsi:nil="true"/>
    <PublishingContact xmlns="http://schemas.microsoft.com/sharepoint/v3">
      <UserInfo>
        <DisplayName/>
        <AccountId xsi:nil="true"/>
        <AccountType/>
      </UserInfo>
    </PublishingContact>
    <PublishingContactName xmlns="http://schemas.microsoft.com/sharepoint/v3" xsi:nil="true"/>
    <Comments xmlns="http://schemas.microsoft.com/sharepoint/v3" xsi:nil="true"/>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Page" ma:contentTypeID="0x010100C568DB52D9D0A14D9B2FDCC96666E9F2007948130EC3DB064584E219954237AF390074929ACCF5926F4B8F0AF3045F45E946" ma:contentTypeVersion="4" ma:contentTypeDescription="Page is a system content type template created by the Publishing Resources feature. The column templates from Page will be added to all Pages libraries created by the Publishing feature." ma:contentTypeScope="" ma:versionID="303d04e5a76217f7204107e5566c86b9">
  <xsd:schema xmlns:xsd="http://www.w3.org/2001/XMLSchema" xmlns:xs="http://www.w3.org/2001/XMLSchema" xmlns:p="http://schemas.microsoft.com/office/2006/metadata/properties" xmlns:ns1="http://schemas.microsoft.com/sharepoint/v3" xmlns:ns2="79e7c47d-1374-4efb-84fe-af3625726193" targetNamespace="http://schemas.microsoft.com/office/2006/metadata/properties" ma:root="true" ma:fieldsID="33d629f122fb2898fb7cb1078e4b8745" ns1:_="" ns2:_="">
    <xsd:import namespace="http://schemas.microsoft.com/sharepoint/v3"/>
    <xsd:import namespace="79e7c47d-1374-4efb-84fe-af3625726193"/>
    <xsd:element name="properties">
      <xsd:complexType>
        <xsd:sequence>
          <xsd:element name="documentManagement">
            <xsd:complexType>
              <xsd:all>
                <xsd:element ref="ns1:Comments" minOccurs="0"/>
                <xsd:element ref="ns1:PublishingStartDate" minOccurs="0"/>
                <xsd:element ref="ns1:PublishingExpirationDate" minOccurs="0"/>
                <xsd:element ref="ns1:PublishingContact" minOccurs="0"/>
                <xsd:element ref="ns1:PublishingContactEmail" minOccurs="0"/>
                <xsd:element ref="ns1:PublishingContactName" minOccurs="0"/>
                <xsd:element ref="ns1:PublishingContactPicture" minOccurs="0"/>
                <xsd:element ref="ns1:PublishingPageLayout" minOccurs="0"/>
                <xsd:element ref="ns1:PublishingVariationGroupID" minOccurs="0"/>
                <xsd:element ref="ns1:PublishingVariationRelationshipLinkFieldID" minOccurs="0"/>
                <xsd:element ref="ns1:PublishingRollupImage" minOccurs="0"/>
                <xsd:element ref="ns1:Audience" minOccurs="0"/>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omments" ma:index="8" nillable="true" ma:displayName="Comments" ma:internalName="Comments">
      <xsd:simpleType>
        <xsd:restriction base="dms:Note">
          <xsd:maxLength value="255"/>
        </xsd:restriction>
      </xsd:simpleType>
    </xsd:element>
    <xsd:element name="PublishingStartDate" ma:index="9" nillable="true" ma:displayName="Scheduling Start Date" ma:description="" ma:hidden="true" ma:internalName="PublishingStartDate">
      <xsd:simpleType>
        <xsd:restriction base="dms:Unknown"/>
      </xsd:simpleType>
    </xsd:element>
    <xsd:element name="PublishingExpirationDate" ma:index="10" nillable="true" ma:displayName="Scheduling End Date" ma:description="" ma:hidden="true" ma:internalName="PublishingExpirationDate">
      <xsd:simpleType>
        <xsd:restriction base="dms:Unknown"/>
      </xsd:simpleType>
    </xsd:element>
    <xsd:element name="PublishingContact" ma:index="11" nillable="true" ma:displayName="Contact" ma:list="UserInfo" ma:internalName="PublishingContact">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lishingContactEmail" ma:index="12" nillable="true" ma:displayName="Contact E-Mail Address" ma:internalName="PublishingContactEmail">
      <xsd:simpleType>
        <xsd:restriction base="dms:Text">
          <xsd:maxLength value="255"/>
        </xsd:restriction>
      </xsd:simpleType>
    </xsd:element>
    <xsd:element name="PublishingContactName" ma:index="13" nillable="true" ma:displayName="Contact Name" ma:internalName="PublishingContactName">
      <xsd:simpleType>
        <xsd:restriction base="dms:Text">
          <xsd:maxLength value="255"/>
        </xsd:restriction>
      </xsd:simpleType>
    </xsd:element>
    <xsd:element name="PublishingContactPicture" ma:index="14" nillable="true" ma:displayName="Contact Picture" ma:format="Image" ma:internalName="PublishingContactPicture">
      <xsd:complexType>
        <xsd:complexContent>
          <xsd:extension base="dms:URL">
            <xsd:sequence>
              <xsd:element name="Url" type="dms:ValidUrl" minOccurs="0" nillable="true"/>
              <xsd:element name="Description" type="xsd:string" nillable="true"/>
            </xsd:sequence>
          </xsd:extension>
        </xsd:complexContent>
      </xsd:complexType>
    </xsd:element>
    <xsd:element name="PublishingPageLayout" ma:index="15" nillable="true" ma:displayName="Page Layout" ma:internalName="PublishingPageLayout"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PublishingVariationGroupID" ma:index="16" nillable="true" ma:displayName="Variation Group ID" ma:hidden="true" ma:internalName="PublishingVariationGroupID">
      <xsd:simpleType>
        <xsd:restriction base="dms:Text">
          <xsd:maxLength value="255"/>
        </xsd:restriction>
      </xsd:simpleType>
    </xsd:element>
    <xsd:element name="PublishingVariationRelationshipLinkFieldID" ma:index="17" nillable="true" ma:displayName="Variation Relationship Link" ma:hidden="true" ma:internalName="PublishingVariationRelationshipLinkFieldID">
      <xsd:complexType>
        <xsd:complexContent>
          <xsd:extension base="dms:URL">
            <xsd:sequence>
              <xsd:element name="Url" type="dms:ValidUrl" minOccurs="0" nillable="true"/>
              <xsd:element name="Description" type="xsd:string" nillable="true"/>
            </xsd:sequence>
          </xsd:extension>
        </xsd:complexContent>
      </xsd:complexType>
    </xsd:element>
    <xsd:element name="PublishingRollupImage" ma:index="18" nillable="true" ma:displayName="Rollup Image" ma:internalName="PublishingRollupImage">
      <xsd:simpleType>
        <xsd:restriction base="dms:Unknown"/>
      </xsd:simpleType>
    </xsd:element>
    <xsd:element name="Audience" ma:index="19" nillable="true" ma:displayName="Target Audiences" ma:description="" ma:internalName="Audienc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9e7c47d-1374-4efb-84fe-af3625726193" elementFormDefault="qualified">
    <xsd:import namespace="http://schemas.microsoft.com/office/2006/documentManagement/types"/>
    <xsd:import namespace="http://schemas.microsoft.com/office/infopath/2007/PartnerControls"/>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5BFF0BC-E779-4D06-860E-30CACA54C22B}">
  <ds:schemaRefs>
    <ds:schemaRef ds:uri="http://purl.org/dc/terms/"/>
    <ds:schemaRef ds:uri="http://purl.org/dc/dcmitype/"/>
    <ds:schemaRef ds:uri="http://schemas.microsoft.com/office/2006/metadata/propertie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79e7c47d-1374-4efb-84fe-af3625726193"/>
    <ds:schemaRef ds:uri="http://schemas.microsoft.com/sharepoint/v3"/>
    <ds:schemaRef ds:uri="http://www.w3.org/XML/1998/namespace"/>
  </ds:schemaRefs>
</ds:datastoreItem>
</file>

<file path=customXml/itemProps2.xml><?xml version="1.0" encoding="utf-8"?>
<ds:datastoreItem xmlns:ds="http://schemas.openxmlformats.org/officeDocument/2006/customXml" ds:itemID="{DBD96C18-5179-41CE-9BF5-9BB82B34D754}">
  <ds:schemaRefs>
    <ds:schemaRef ds:uri="http://schemas.microsoft.com/sharepoint/events"/>
  </ds:schemaRefs>
</ds:datastoreItem>
</file>

<file path=customXml/itemProps3.xml><?xml version="1.0" encoding="utf-8"?>
<ds:datastoreItem xmlns:ds="http://schemas.openxmlformats.org/officeDocument/2006/customXml" ds:itemID="{6EA3D318-9AFD-4B41-BEC4-00F9834928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9e7c47d-1374-4efb-84fe-af36257261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DA1C6B5-F554-45AC-8E29-3CAB5C889F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Cover</vt:lpstr>
      <vt:lpstr>Instructions_unidirectional</vt:lpstr>
      <vt:lpstr>Customer_sheet_unidirectional</vt:lpstr>
      <vt:lpstr>DOF_unidirectional_actuator</vt:lpstr>
      <vt:lpstr>Instructions_bidirectional</vt:lpstr>
      <vt:lpstr>Customer_sheet_bidirectional</vt:lpstr>
      <vt:lpstr>DAC_to_Logical_index</vt:lpstr>
      <vt:lpstr>DOF_bidirectional_actuator</vt:lpstr>
      <vt:lpstr>Depth_of_field_calc</vt:lpstr>
      <vt:lpstr>Cover!Print_Area</vt:lpstr>
      <vt:lpstr>Instructions_bidirectional!Print_Area</vt:lpstr>
      <vt:lpstr>Instructions_unidirectional!Print_Area</vt:lpstr>
    </vt:vector>
  </TitlesOfParts>
  <Company>Qualcomm, Incorporated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ASW Excel template</dc:title>
  <dc:creator>Qualcomm User</dc:creator>
  <cp:lastModifiedBy>Qualcomm User</cp:lastModifiedBy>
  <cp:lastPrinted>2014-08-25T23:02:17Z</cp:lastPrinted>
  <dcterms:created xsi:type="dcterms:W3CDTF">2005-05-15T00:34:16Z</dcterms:created>
  <dcterms:modified xsi:type="dcterms:W3CDTF">2016-08-31T18:04:15Z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0x010100C568DB52D9D0A14D9B2FDCC96666E9F2007948130EC3DB064584E219954237AF390074929ACCF5926F4B8F0AF3045F45E946</vt:lpwstr>
  </property>
  <property fmtid="{D5CDD505-2E9C-101B-9397-08002B2CF9AE}" pid="4" name="_dlc_DocIdItemGuid">
    <vt:lpwstr>1a3d2fab-04fb-41c0-a102-9efe97b1cbe2</vt:lpwstr>
  </property>
  <property fmtid="{D5CDD505-2E9C-101B-9397-08002B2CF9AE}" pid="5" name="Order">
    <vt:r8>13400</vt:r8>
  </property>
  <property fmtid="{D5CDD505-2E9C-101B-9397-08002B2CF9AE}" pid="6" name="Department-specific?">
    <vt:lpwstr>Yes</vt:lpwstr>
  </property>
  <property fmtid="{D5CDD505-2E9C-101B-9397-08002B2CF9AE}" pid="7" name="_AdHocReviewCycleID">
    <vt:i4>-1284508204</vt:i4>
  </property>
  <property fmtid="{D5CDD505-2E9C-101B-9397-08002B2CF9AE}" pid="8" name="_EmailSubject">
    <vt:lpwstr>Latest revision of AF Actuator Tuning Guide Worksheet and how to distribute it?</vt:lpwstr>
  </property>
  <property fmtid="{D5CDD505-2E9C-101B-9397-08002B2CF9AE}" pid="9" name="_AuthorEmail">
    <vt:lpwstr>sksagar@qti.qualcomm.com</vt:lpwstr>
  </property>
  <property fmtid="{D5CDD505-2E9C-101B-9397-08002B2CF9AE}" pid="10" name="_AuthorEmailDisplayName">
    <vt:lpwstr>Sagar, Sanket</vt:lpwstr>
  </property>
  <property fmtid="{D5CDD505-2E9C-101B-9397-08002B2CF9AE}" pid="11" name="_ReviewingToolsShownOnce">
    <vt:lpwstr/>
  </property>
</Properties>
</file>